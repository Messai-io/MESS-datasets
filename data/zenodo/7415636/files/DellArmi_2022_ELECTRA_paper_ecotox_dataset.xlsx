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ropbox\viki dokumentumai\Electra\Ecotox testing\Uniroma\Kiértékelés MM\"/>
    </mc:Choice>
  </mc:AlternateContent>
  <bookViews>
    <workbookView xWindow="0" yWindow="0" windowWidth="21870" windowHeight="8910"/>
  </bookViews>
  <sheets>
    <sheet name="Triticum aestivum" sheetId="2" r:id="rId1"/>
    <sheet name="Sinapis alba" sheetId="3" r:id="rId2"/>
    <sheet name="Lemna minor" sheetId="4" r:id="rId3"/>
    <sheet name="Tetrahymena pyriformis" sheetId="1" r:id="rId4"/>
    <sheet name="Daphnia magna" sheetId="5" r:id="rId5"/>
    <sheet name="Panagrellus rediviu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6" l="1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J7" i="5" l="1"/>
  <c r="F7" i="5"/>
  <c r="J6" i="5"/>
  <c r="F6" i="5"/>
  <c r="J5" i="5"/>
  <c r="F5" i="5"/>
  <c r="J4" i="5"/>
  <c r="F4" i="5"/>
  <c r="R29" i="1" l="1"/>
  <c r="R28" i="1"/>
  <c r="R20" i="1"/>
  <c r="R19" i="1"/>
  <c r="R11" i="1"/>
  <c r="R10" i="1"/>
  <c r="I29" i="1"/>
  <c r="I28" i="1"/>
  <c r="I20" i="1"/>
  <c r="I19" i="1"/>
  <c r="I11" i="1"/>
  <c r="I10" i="1"/>
  <c r="E33" i="4" l="1"/>
  <c r="E32" i="4"/>
  <c r="E31" i="4"/>
  <c r="F31" i="4" s="1"/>
  <c r="E30" i="4"/>
  <c r="E29" i="4"/>
  <c r="E28" i="4"/>
  <c r="F28" i="4" s="1"/>
  <c r="E27" i="4"/>
  <c r="E26" i="4"/>
  <c r="E25" i="4"/>
  <c r="F25" i="4" s="1"/>
  <c r="E24" i="4"/>
  <c r="E23" i="4"/>
  <c r="E22" i="4"/>
  <c r="F22" i="4" s="1"/>
  <c r="D4" i="4"/>
  <c r="F4" i="4"/>
  <c r="H4" i="4"/>
  <c r="J4" i="4"/>
  <c r="L4" i="4"/>
  <c r="N4" i="4"/>
  <c r="D7" i="4"/>
  <c r="F7" i="4"/>
  <c r="H7" i="4"/>
  <c r="J7" i="4"/>
  <c r="L7" i="4"/>
  <c r="N7" i="4"/>
  <c r="D10" i="4"/>
  <c r="F10" i="4"/>
  <c r="H10" i="4"/>
  <c r="J10" i="4"/>
  <c r="L10" i="4"/>
  <c r="N10" i="4"/>
  <c r="D13" i="4"/>
  <c r="F13" i="4"/>
  <c r="H13" i="4"/>
  <c r="J13" i="4"/>
  <c r="L13" i="4"/>
  <c r="N13" i="4"/>
  <c r="N4" i="3" l="1"/>
  <c r="S7" i="2"/>
  <c r="U6" i="2"/>
  <c r="AD50" i="3" l="1"/>
  <c r="AC50" i="3"/>
  <c r="AA50" i="3"/>
  <c r="Z50" i="3"/>
  <c r="N7" i="3" s="1"/>
  <c r="X50" i="3"/>
  <c r="W50" i="3"/>
  <c r="T50" i="3"/>
  <c r="S50" i="3"/>
  <c r="O6" i="3" s="1"/>
  <c r="Q50" i="3"/>
  <c r="P50" i="3"/>
  <c r="N50" i="3"/>
  <c r="M50" i="3"/>
  <c r="J50" i="3"/>
  <c r="I50" i="3"/>
  <c r="G50" i="3"/>
  <c r="F50" i="3"/>
  <c r="N5" i="3" s="1"/>
  <c r="D50" i="3"/>
  <c r="C50" i="3"/>
  <c r="J24" i="3"/>
  <c r="I24" i="3"/>
  <c r="G24" i="3"/>
  <c r="F24" i="3"/>
  <c r="D24" i="3"/>
  <c r="C24" i="3"/>
  <c r="M4" i="3" s="1"/>
  <c r="V7" i="3"/>
  <c r="U7" i="3"/>
  <c r="T7" i="3"/>
  <c r="S7" i="3"/>
  <c r="O7" i="3"/>
  <c r="M7" i="3"/>
  <c r="U6" i="3"/>
  <c r="T6" i="3"/>
  <c r="S6" i="3"/>
  <c r="N6" i="3"/>
  <c r="M6" i="3"/>
  <c r="P6" i="3" s="1"/>
  <c r="V5" i="3"/>
  <c r="U5" i="3"/>
  <c r="T5" i="3"/>
  <c r="S5" i="3"/>
  <c r="O5" i="3"/>
  <c r="M5" i="3"/>
  <c r="U4" i="3"/>
  <c r="T4" i="3"/>
  <c r="S4" i="3"/>
  <c r="V4" i="3" s="1"/>
  <c r="O4" i="3"/>
  <c r="AT42" i="2"/>
  <c r="AS42" i="2"/>
  <c r="U7" i="2" s="1"/>
  <c r="AO42" i="2"/>
  <c r="AN42" i="2"/>
  <c r="T7" i="2" s="1"/>
  <c r="AJ42" i="2"/>
  <c r="AI42" i="2"/>
  <c r="AD42" i="2"/>
  <c r="AC42" i="2"/>
  <c r="Y42" i="2"/>
  <c r="X42" i="2"/>
  <c r="T6" i="2" s="1"/>
  <c r="T42" i="2"/>
  <c r="S42" i="2"/>
  <c r="S6" i="2" s="1"/>
  <c r="N42" i="2"/>
  <c r="M42" i="2"/>
  <c r="U5" i="2" s="1"/>
  <c r="I42" i="2"/>
  <c r="H42" i="2"/>
  <c r="T5" i="2" s="1"/>
  <c r="D42" i="2"/>
  <c r="C42" i="2"/>
  <c r="S5" i="2" s="1"/>
  <c r="N20" i="2"/>
  <c r="M20" i="2"/>
  <c r="U4" i="2" s="1"/>
  <c r="I20" i="2"/>
  <c r="Z4" i="2" s="1"/>
  <c r="H20" i="2"/>
  <c r="D20" i="2"/>
  <c r="Y4" i="2" s="1"/>
  <c r="C20" i="2"/>
  <c r="S4" i="2" s="1"/>
  <c r="AA7" i="2"/>
  <c r="Z7" i="2"/>
  <c r="Y7" i="2"/>
  <c r="Z6" i="2"/>
  <c r="Y6" i="2"/>
  <c r="AA5" i="2"/>
  <c r="Z5" i="2"/>
  <c r="Y5" i="2"/>
  <c r="AA4" i="2"/>
  <c r="T4" i="2"/>
  <c r="P4" i="3" l="1"/>
  <c r="P5" i="3"/>
  <c r="P7" i="3"/>
  <c r="V6" i="3"/>
  <c r="V4" i="2"/>
  <c r="V5" i="2"/>
  <c r="V6" i="2"/>
  <c r="V7" i="2"/>
  <c r="AB7" i="2"/>
  <c r="AB6" i="2"/>
  <c r="AB4" i="2"/>
  <c r="AB5" i="2"/>
</calcChain>
</file>

<file path=xl/sharedStrings.xml><?xml version="1.0" encoding="utf-8"?>
<sst xmlns="http://schemas.openxmlformats.org/spreadsheetml/2006/main" count="326" uniqueCount="89">
  <si>
    <t>I</t>
  </si>
  <si>
    <t>II</t>
  </si>
  <si>
    <t>III</t>
  </si>
  <si>
    <t>Átlag</t>
  </si>
  <si>
    <t>Control
TW</t>
  </si>
  <si>
    <t>Rho ground water</t>
  </si>
  <si>
    <t>Reductive reactor</t>
  </si>
  <si>
    <t>Oxidative reactor</t>
  </si>
  <si>
    <t>RGW I</t>
  </si>
  <si>
    <t>RGW II</t>
  </si>
  <si>
    <t>RGW III</t>
  </si>
  <si>
    <t>Reductive reactor I</t>
  </si>
  <si>
    <t>Reductive reactor II</t>
  </si>
  <si>
    <t>Reductive reactor III</t>
  </si>
  <si>
    <t>Oxidative reactor I</t>
  </si>
  <si>
    <t>Oxidative reactor II</t>
  </si>
  <si>
    <t>Oxidative reactor III</t>
  </si>
  <si>
    <t>Shoot</t>
  </si>
  <si>
    <t>Root</t>
  </si>
  <si>
    <t>Shoot (mm)</t>
  </si>
  <si>
    <t>Root (mm)</t>
  </si>
  <si>
    <t>Average</t>
  </si>
  <si>
    <t>Length (mm)</t>
  </si>
  <si>
    <t>TAP WATER I</t>
  </si>
  <si>
    <t>TAP WATER II</t>
  </si>
  <si>
    <t>TAP WATER III</t>
  </si>
  <si>
    <t>168 h</t>
  </si>
  <si>
    <t>96 h</t>
  </si>
  <si>
    <t>72 h</t>
  </si>
  <si>
    <t>48 h</t>
  </si>
  <si>
    <t>start</t>
  </si>
  <si>
    <t>Oxidative reactor 3</t>
  </si>
  <si>
    <t>Oxidative reactor 2</t>
  </si>
  <si>
    <t>Oxidative reactor 1</t>
  </si>
  <si>
    <t>Reductive reactor 3</t>
  </si>
  <si>
    <t>Reductive reactor 2</t>
  </si>
  <si>
    <t>Reductive reactor 1</t>
  </si>
  <si>
    <t>Rho groundwater 3</t>
  </si>
  <si>
    <t>Rho groundwater 2</t>
  </si>
  <si>
    <t>Rho groundwater 1</t>
  </si>
  <si>
    <t>24 h</t>
  </si>
  <si>
    <t>No. of leaves</t>
  </si>
  <si>
    <t>Sample</t>
  </si>
  <si>
    <t>Control distilled water 1</t>
  </si>
  <si>
    <t>Control distilled water 2</t>
  </si>
  <si>
    <t>Control distilled water 3</t>
  </si>
  <si>
    <t>649 nm</t>
  </si>
  <si>
    <t>664 nm</t>
  </si>
  <si>
    <t>Average (µg /
sample)</t>
  </si>
  <si>
    <t>Chlorophyll content</t>
  </si>
  <si>
    <t>Chl. cont. (µg /
sample)</t>
  </si>
  <si>
    <t>Absorbance</t>
  </si>
  <si>
    <t>Control tap water</t>
  </si>
  <si>
    <t>IV</t>
  </si>
  <si>
    <t>V</t>
  </si>
  <si>
    <t>VI</t>
  </si>
  <si>
    <t>Absorbance (490 nm)</t>
  </si>
  <si>
    <t>Measuement, 48 h, 15 min after INT addition</t>
  </si>
  <si>
    <t>Measuement, 24 h, 15 min after INT addition</t>
  </si>
  <si>
    <t>I.</t>
  </si>
  <si>
    <t>II.</t>
  </si>
  <si>
    <t>III.</t>
  </si>
  <si>
    <t>Rho groundwater</t>
  </si>
  <si>
    <t>2x</t>
  </si>
  <si>
    <t>Distilled water control</t>
  </si>
  <si>
    <t>Avergae</t>
  </si>
  <si>
    <t>Dilution in the measurement system</t>
  </si>
  <si>
    <t>Sample name</t>
  </si>
  <si>
    <r>
      <rPr>
        <i/>
        <sz val="11"/>
        <color theme="1"/>
        <rFont val="Calibri"/>
        <family val="2"/>
        <charset val="238"/>
        <scheme val="minor"/>
      </rPr>
      <t>Triticum aestivum</t>
    </r>
    <r>
      <rPr>
        <sz val="11"/>
        <color theme="1"/>
        <rFont val="Calibri"/>
        <family val="2"/>
        <charset val="238"/>
        <scheme val="minor"/>
      </rPr>
      <t xml:space="preserve"> root and shoot elongation inhibition test.</t>
    </r>
  </si>
  <si>
    <r>
      <rPr>
        <i/>
        <sz val="11"/>
        <color theme="1"/>
        <rFont val="Calibri"/>
        <family val="2"/>
        <charset val="238"/>
        <scheme val="minor"/>
      </rPr>
      <t>Sinapis alba</t>
    </r>
    <r>
      <rPr>
        <sz val="11"/>
        <color theme="1"/>
        <rFont val="Calibri"/>
        <family val="2"/>
        <charset val="238"/>
        <scheme val="minor"/>
      </rPr>
      <t xml:space="preserve"> root and shoot elongation inhibition test.</t>
    </r>
  </si>
  <si>
    <r>
      <rPr>
        <i/>
        <sz val="11"/>
        <color theme="1"/>
        <rFont val="Calibri"/>
        <family val="2"/>
        <charset val="238"/>
        <scheme val="minor"/>
      </rPr>
      <t>Lemna minor</t>
    </r>
    <r>
      <rPr>
        <sz val="11"/>
        <color theme="1"/>
        <rFont val="Calibri"/>
        <family val="2"/>
        <scheme val="minor"/>
      </rPr>
      <t xml:space="preserve"> reproduction inibition test.</t>
    </r>
  </si>
  <si>
    <r>
      <rPr>
        <i/>
        <sz val="11"/>
        <color theme="1"/>
        <rFont val="Calibri"/>
        <family val="2"/>
        <charset val="238"/>
        <scheme val="minor"/>
      </rPr>
      <t>Tetrahymena pyriformis</t>
    </r>
    <r>
      <rPr>
        <sz val="11"/>
        <color theme="1"/>
        <rFont val="Calibri"/>
        <family val="2"/>
        <charset val="238"/>
        <scheme val="minor"/>
      </rPr>
      <t xml:space="preserve"> reproduction inhibition test.</t>
    </r>
  </si>
  <si>
    <r>
      <rPr>
        <i/>
        <sz val="11"/>
        <color theme="1"/>
        <rFont val="Calibri"/>
        <family val="2"/>
        <charset val="238"/>
        <scheme val="minor"/>
      </rPr>
      <t>Daphnia magna</t>
    </r>
    <r>
      <rPr>
        <sz val="11"/>
        <color theme="1"/>
        <rFont val="Calibri"/>
        <family val="2"/>
        <charset val="238"/>
        <scheme val="minor"/>
      </rPr>
      <t xml:space="preserve"> mortality test.</t>
    </r>
  </si>
  <si>
    <t>No. of living animals - 24 h</t>
  </si>
  <si>
    <t>No. of living animals - 48 h</t>
  </si>
  <si>
    <t>Rho GW</t>
  </si>
  <si>
    <t>16x</t>
  </si>
  <si>
    <t>8x</t>
  </si>
  <si>
    <t>4x</t>
  </si>
  <si>
    <t>1x</t>
  </si>
  <si>
    <t>Red. reactor effluent</t>
  </si>
  <si>
    <t>Ox. reactor effluent</t>
  </si>
  <si>
    <r>
      <rPr>
        <i/>
        <sz val="11"/>
        <color theme="1"/>
        <rFont val="Calibri"/>
        <family val="2"/>
        <charset val="238"/>
        <scheme val="minor"/>
      </rPr>
      <t>Panagrellus redivius</t>
    </r>
    <r>
      <rPr>
        <sz val="11"/>
        <color theme="1"/>
        <rFont val="Calibri"/>
        <family val="2"/>
        <charset val="238"/>
        <scheme val="minor"/>
      </rPr>
      <t xml:space="preserve"> reproduction inhibition test.</t>
    </r>
  </si>
  <si>
    <t>Measurement at 48 h.</t>
  </si>
  <si>
    <t>Dilution</t>
  </si>
  <si>
    <t>Inhibition compared to distilled water (%)</t>
  </si>
  <si>
    <t>IV.</t>
  </si>
  <si>
    <t>ELECTRA 826244 H2020  project</t>
  </si>
  <si>
    <t>Related publication: 10.1016/j.jwpe.2022.103101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</si>
</sst>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0"/>
    <numFmt numFmtId="166" formatCode="0.000"/>
  </numFmts>
  <fonts count="12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212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right" vertical="center" wrapText="1"/>
    </xf>
    <xf numFmtId="164" fontId="0" fillId="0" borderId="0" xfId="0" applyNumberFormat="1" applyFill="1" applyBorder="1" applyAlignment="1">
      <alignment horizontal="right" vertical="center" wrapText="1"/>
    </xf>
    <xf numFmtId="14" fontId="2" fillId="0" borderId="0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right" vertical="center" wrapText="1"/>
    </xf>
    <xf numFmtId="164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64" fontId="0" fillId="0" borderId="0" xfId="0" applyNumberForma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164" fontId="2" fillId="0" borderId="0" xfId="0" applyNumberFormat="1" applyFont="1" applyFill="1" applyBorder="1" applyAlignment="1">
      <alignment vertical="center" wrapText="1"/>
    </xf>
    <xf numFmtId="0" fontId="0" fillId="0" borderId="0" xfId="0" applyFill="1" applyBorder="1" applyAlignment="1">
      <alignment horizontal="right" vertical="center" wrapText="1"/>
    </xf>
    <xf numFmtId="14" fontId="0" fillId="0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164" fontId="0" fillId="0" borderId="0" xfId="0" applyNumberFormat="1" applyFill="1" applyBorder="1"/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4" fillId="0" borderId="4" xfId="0" applyFont="1" applyFill="1" applyBorder="1" applyAlignment="1">
      <alignment horizontal="center" vertical="center" wrapText="1"/>
    </xf>
    <xf numFmtId="0" fontId="0" fillId="6" borderId="0" xfId="0" applyFill="1" applyBorder="1"/>
    <xf numFmtId="164" fontId="4" fillId="6" borderId="6" xfId="0" applyNumberFormat="1" applyFont="1" applyFill="1" applyBorder="1" applyAlignment="1">
      <alignment horizontal="center" vertical="center" wrapText="1"/>
    </xf>
    <xf numFmtId="164" fontId="4" fillId="6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right" vertical="center" wrapText="1"/>
    </xf>
    <xf numFmtId="0" fontId="0" fillId="0" borderId="0" xfId="0" applyFill="1" applyBorder="1" applyAlignment="1">
      <alignment wrapText="1"/>
    </xf>
    <xf numFmtId="0" fontId="4" fillId="0" borderId="3" xfId="0" applyFont="1" applyFill="1" applyBorder="1" applyAlignment="1">
      <alignment horizontal="center" vertical="center"/>
    </xf>
    <xf numFmtId="164" fontId="0" fillId="0" borderId="0" xfId="0" applyNumberFormat="1" applyFill="1"/>
    <xf numFmtId="164" fontId="0" fillId="0" borderId="0" xfId="0" applyNumberFormat="1" applyFill="1" applyAlignment="1">
      <alignment horizontal="center"/>
    </xf>
    <xf numFmtId="164" fontId="5" fillId="0" borderId="0" xfId="0" applyNumberFormat="1" applyFont="1" applyFill="1" applyBorder="1" applyAlignment="1">
      <alignment vertical="center"/>
    </xf>
    <xf numFmtId="0" fontId="0" fillId="0" borderId="0" xfId="0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vertical="center" wrapText="1"/>
    </xf>
    <xf numFmtId="164" fontId="6" fillId="0" borderId="0" xfId="0" applyNumberFormat="1" applyFont="1" applyFill="1" applyBorder="1" applyAlignment="1">
      <alignment horizontal="left" vertical="center"/>
    </xf>
    <xf numFmtId="164" fontId="5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right" vertical="center" wrapText="1"/>
    </xf>
    <xf numFmtId="0" fontId="5" fillId="0" borderId="0" xfId="0" applyFont="1" applyAlignment="1">
      <alignment horizontal="right"/>
    </xf>
    <xf numFmtId="2" fontId="0" fillId="0" borderId="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2" fontId="0" fillId="0" borderId="0" xfId="0" applyNumberFormat="1" applyFont="1" applyFill="1" applyAlignment="1">
      <alignment horizontal="center" vertical="center"/>
    </xf>
    <xf numFmtId="0" fontId="5" fillId="0" borderId="0" xfId="0" applyFont="1" applyFill="1" applyBorder="1" applyAlignment="1">
      <alignment horizontal="right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164" fontId="0" fillId="0" borderId="0" xfId="0" applyNumberFormat="1" applyFont="1" applyFill="1" applyBorder="1" applyAlignment="1">
      <alignment horizontal="righ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8" fillId="0" borderId="0" xfId="1" applyAlignment="1">
      <alignment horizontal="center" vertical="center"/>
    </xf>
    <xf numFmtId="164" fontId="8" fillId="0" borderId="0" xfId="1" applyNumberFormat="1" applyAlignment="1">
      <alignment horizontal="center" vertical="center"/>
    </xf>
    <xf numFmtId="165" fontId="8" fillId="0" borderId="0" xfId="1" applyNumberFormat="1"/>
    <xf numFmtId="0" fontId="8" fillId="0" borderId="0" xfId="1" applyFill="1"/>
    <xf numFmtId="0" fontId="8" fillId="0" borderId="0" xfId="1" applyFill="1" applyAlignment="1">
      <alignment horizontal="center" vertical="center"/>
    </xf>
    <xf numFmtId="0" fontId="8" fillId="0" borderId="0" xfId="1" applyBorder="1" applyAlignment="1">
      <alignment horizontal="center" vertical="center"/>
    </xf>
    <xf numFmtId="1" fontId="8" fillId="0" borderId="0" xfId="1" applyNumberFormat="1" applyBorder="1" applyAlignment="1">
      <alignment horizontal="center" vertical="center"/>
    </xf>
    <xf numFmtId="165" fontId="8" fillId="0" borderId="4" xfId="1" applyNumberFormat="1" applyBorder="1" applyAlignment="1">
      <alignment horizontal="center" vertical="center" wrapText="1"/>
    </xf>
    <xf numFmtId="0" fontId="8" fillId="0" borderId="0" xfId="1" applyFill="1" applyBorder="1" applyAlignment="1">
      <alignment horizontal="center" vertical="center"/>
    </xf>
    <xf numFmtId="165" fontId="8" fillId="7" borderId="3" xfId="1" applyNumberFormat="1" applyFill="1" applyBorder="1" applyAlignment="1">
      <alignment horizontal="center" vertical="center" wrapText="1"/>
    </xf>
    <xf numFmtId="1" fontId="8" fillId="0" borderId="4" xfId="1" applyNumberFormat="1" applyBorder="1" applyAlignment="1">
      <alignment horizontal="center" vertical="center"/>
    </xf>
    <xf numFmtId="166" fontId="8" fillId="0" borderId="3" xfId="1" applyNumberFormat="1" applyBorder="1" applyAlignment="1">
      <alignment horizontal="center" vertical="center"/>
    </xf>
    <xf numFmtId="166" fontId="8" fillId="0" borderId="4" xfId="1" applyNumberFormat="1" applyBorder="1" applyAlignment="1">
      <alignment horizontal="center" vertical="center"/>
    </xf>
    <xf numFmtId="166" fontId="8" fillId="0" borderId="1" xfId="1" applyNumberFormat="1" applyBorder="1" applyAlignment="1">
      <alignment horizontal="center" vertical="center"/>
    </xf>
    <xf numFmtId="166" fontId="8" fillId="0" borderId="0" xfId="1" applyNumberFormat="1" applyBorder="1" applyAlignment="1">
      <alignment horizontal="center" vertical="center"/>
    </xf>
    <xf numFmtId="166" fontId="8" fillId="0" borderId="6" xfId="1" applyNumberFormat="1" applyBorder="1" applyAlignment="1">
      <alignment horizontal="center" vertical="center"/>
    </xf>
    <xf numFmtId="166" fontId="8" fillId="0" borderId="7" xfId="1" applyNumberFormat="1" applyBorder="1" applyAlignment="1">
      <alignment horizontal="center" vertical="center"/>
    </xf>
    <xf numFmtId="1" fontId="8" fillId="0" borderId="3" xfId="1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 wrapText="1"/>
    </xf>
    <xf numFmtId="1" fontId="8" fillId="8" borderId="3" xfId="1" applyNumberFormat="1" applyFill="1" applyBorder="1" applyAlignment="1">
      <alignment horizontal="center" vertical="center" wrapText="1"/>
    </xf>
    <xf numFmtId="165" fontId="8" fillId="0" borderId="11" xfId="1" applyNumberFormat="1" applyBorder="1" applyAlignment="1">
      <alignment horizontal="center" vertical="center"/>
    </xf>
    <xf numFmtId="165" fontId="8" fillId="0" borderId="10" xfId="1" applyNumberFormat="1" applyBorder="1" applyAlignment="1">
      <alignment horizontal="center" vertical="center"/>
    </xf>
    <xf numFmtId="165" fontId="8" fillId="0" borderId="9" xfId="1" applyNumberFormat="1" applyBorder="1" applyAlignment="1">
      <alignment horizontal="center" vertical="center"/>
    </xf>
    <xf numFmtId="166" fontId="0" fillId="0" borderId="2" xfId="0" applyNumberFormat="1" applyFont="1" applyFill="1" applyBorder="1" applyAlignment="1">
      <alignment horizontal="right" vertical="center" wrapText="1"/>
    </xf>
    <xf numFmtId="166" fontId="0" fillId="0" borderId="0" xfId="0" applyNumberFormat="1" applyFont="1" applyFill="1" applyBorder="1" applyAlignment="1">
      <alignment horizontal="right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166" fontId="0" fillId="0" borderId="5" xfId="0" applyNumberFormat="1" applyFont="1" applyFill="1" applyBorder="1" applyAlignment="1">
      <alignment horizontal="right" vertical="center" wrapText="1"/>
    </xf>
    <xf numFmtId="166" fontId="0" fillId="0" borderId="4" xfId="0" applyNumberFormat="1" applyFont="1" applyFill="1" applyBorder="1" applyAlignment="1">
      <alignment horizontal="right" vertical="center" wrapText="1"/>
    </xf>
    <xf numFmtId="166" fontId="0" fillId="0" borderId="0" xfId="0" applyNumberFormat="1"/>
    <xf numFmtId="166" fontId="0" fillId="0" borderId="0" xfId="0" applyNumberFormat="1" applyBorder="1"/>
    <xf numFmtId="166" fontId="0" fillId="0" borderId="4" xfId="0" applyNumberFormat="1" applyBorder="1"/>
    <xf numFmtId="0" fontId="0" fillId="9" borderId="3" xfId="0" applyFont="1" applyFill="1" applyBorder="1" applyAlignment="1">
      <alignment horizontal="center" vertical="center" wrapText="1"/>
    </xf>
    <xf numFmtId="166" fontId="0" fillId="9" borderId="1" xfId="0" applyNumberFormat="1" applyFill="1" applyBorder="1"/>
    <xf numFmtId="166" fontId="0" fillId="9" borderId="3" xfId="0" applyNumberFormat="1" applyFill="1" applyBorder="1"/>
    <xf numFmtId="166" fontId="0" fillId="0" borderId="5" xfId="0" applyNumberFormat="1" applyFont="1" applyFill="1" applyBorder="1" applyAlignment="1">
      <alignment horizontal="center" vertical="center" wrapText="1"/>
    </xf>
    <xf numFmtId="166" fontId="0" fillId="0" borderId="4" xfId="0" applyNumberFormat="1" applyFont="1" applyFill="1" applyBorder="1" applyAlignment="1">
      <alignment horizontal="center" vertical="center" wrapText="1"/>
    </xf>
    <xf numFmtId="166" fontId="0" fillId="9" borderId="3" xfId="0" applyNumberFormat="1" applyFont="1" applyFill="1" applyBorder="1" applyAlignment="1">
      <alignment horizontal="center" vertical="center" wrapText="1"/>
    </xf>
    <xf numFmtId="164" fontId="8" fillId="0" borderId="2" xfId="1" applyNumberFormat="1" applyBorder="1" applyAlignment="1">
      <alignment horizontal="center" vertical="center"/>
    </xf>
    <xf numFmtId="164" fontId="8" fillId="0" borderId="8" xfId="1" applyNumberFormat="1" applyBorder="1" applyAlignment="1">
      <alignment horizontal="center" vertical="center"/>
    </xf>
    <xf numFmtId="164" fontId="8" fillId="0" borderId="5" xfId="1" applyNumberFormat="1" applyBorder="1" applyAlignment="1">
      <alignment horizontal="center" vertical="center"/>
    </xf>
    <xf numFmtId="164" fontId="9" fillId="0" borderId="8" xfId="1" applyNumberFormat="1" applyFont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" fontId="5" fillId="0" borderId="0" xfId="0" applyNumberFormat="1" applyFont="1" applyFill="1" applyBorder="1" applyAlignment="1">
      <alignment horizontal="center" vertical="center"/>
    </xf>
    <xf numFmtId="1" fontId="5" fillId="0" borderId="13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165" fontId="5" fillId="0" borderId="0" xfId="0" applyNumberFormat="1" applyFont="1" applyFill="1" applyBorder="1" applyAlignment="1">
      <alignment horizontal="center"/>
    </xf>
    <xf numFmtId="1" fontId="7" fillId="0" borderId="0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164" fontId="0" fillId="0" borderId="0" xfId="0" applyNumberFormat="1" applyFill="1" applyBorder="1" applyAlignment="1">
      <alignment horizontal="right" vertical="center"/>
    </xf>
    <xf numFmtId="164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164" fontId="7" fillId="0" borderId="0" xfId="0" applyNumberFormat="1" applyFont="1" applyFill="1" applyBorder="1" applyAlignment="1">
      <alignment horizontal="center" vertical="center"/>
    </xf>
    <xf numFmtId="165" fontId="5" fillId="0" borderId="7" xfId="0" applyNumberFormat="1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 vertical="center"/>
    </xf>
    <xf numFmtId="1" fontId="5" fillId="0" borderId="5" xfId="0" applyNumberFormat="1" applyFont="1" applyFill="1" applyBorder="1" applyAlignment="1">
      <alignment horizontal="center" vertical="center"/>
    </xf>
    <xf numFmtId="1" fontId="5" fillId="0" borderId="4" xfId="0" applyNumberFormat="1" applyFont="1" applyFill="1" applyBorder="1" applyAlignment="1">
      <alignment horizontal="center" vertical="center"/>
    </xf>
    <xf numFmtId="1" fontId="5" fillId="0" borderId="12" xfId="0" applyNumberFormat="1" applyFont="1" applyFill="1" applyBorder="1" applyAlignment="1">
      <alignment horizontal="center" vertical="center"/>
    </xf>
    <xf numFmtId="0" fontId="0" fillId="0" borderId="8" xfId="0" applyBorder="1"/>
    <xf numFmtId="165" fontId="5" fillId="0" borderId="10" xfId="0" applyNumberFormat="1" applyFont="1" applyFill="1" applyBorder="1" applyAlignment="1">
      <alignment horizontal="center"/>
    </xf>
    <xf numFmtId="165" fontId="5" fillId="0" borderId="11" xfId="0" applyNumberFormat="1" applyFont="1" applyFill="1" applyBorder="1" applyAlignment="1">
      <alignment horizontal="center"/>
    </xf>
    <xf numFmtId="165" fontId="5" fillId="0" borderId="9" xfId="0" applyNumberFormat="1" applyFont="1" applyFill="1" applyBorder="1" applyAlignment="1">
      <alignment horizontal="center"/>
    </xf>
    <xf numFmtId="165" fontId="5" fillId="0" borderId="4" xfId="0" applyNumberFormat="1" applyFont="1" applyFill="1" applyBorder="1" applyAlignment="1">
      <alignment horizontal="center"/>
    </xf>
    <xf numFmtId="0" fontId="0" fillId="0" borderId="0" xfId="1" applyFont="1" applyAlignment="1">
      <alignment horizontal="left" vertical="center"/>
    </xf>
    <xf numFmtId="0" fontId="5" fillId="11" borderId="3" xfId="0" applyFont="1" applyFill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164" fontId="5" fillId="11" borderId="3" xfId="0" applyNumberFormat="1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164" fontId="0" fillId="0" borderId="14" xfId="0" applyNumberFormat="1" applyBorder="1"/>
    <xf numFmtId="0" fontId="0" fillId="0" borderId="10" xfId="0" applyBorder="1" applyAlignment="1">
      <alignment horizontal="center"/>
    </xf>
    <xf numFmtId="0" fontId="0" fillId="0" borderId="16" xfId="0" applyFill="1" applyBorder="1" applyAlignment="1">
      <alignment horizontal="center" vertical="center"/>
    </xf>
    <xf numFmtId="164" fontId="0" fillId="0" borderId="16" xfId="0" applyNumberFormat="1" applyBorder="1"/>
    <xf numFmtId="164" fontId="2" fillId="9" borderId="17" xfId="0" applyNumberFormat="1" applyFont="1" applyFill="1" applyBorder="1"/>
    <xf numFmtId="164" fontId="2" fillId="9" borderId="19" xfId="0" applyNumberFormat="1" applyFont="1" applyFill="1" applyBorder="1"/>
    <xf numFmtId="0" fontId="0" fillId="0" borderId="21" xfId="0" applyFill="1" applyBorder="1" applyAlignment="1">
      <alignment horizontal="center" vertical="center"/>
    </xf>
    <xf numFmtId="164" fontId="0" fillId="0" borderId="21" xfId="0" applyNumberFormat="1" applyBorder="1"/>
    <xf numFmtId="164" fontId="2" fillId="9" borderId="22" xfId="0" applyNumberFormat="1" applyFont="1" applyFill="1" applyBorder="1"/>
    <xf numFmtId="0" fontId="0" fillId="0" borderId="23" xfId="0" applyBorder="1"/>
    <xf numFmtId="0" fontId="0" fillId="9" borderId="24" xfId="0" applyFill="1" applyBorder="1"/>
    <xf numFmtId="0" fontId="0" fillId="0" borderId="0" xfId="0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64" fontId="4" fillId="6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164" fontId="0" fillId="0" borderId="0" xfId="0" applyNumberForma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164" fontId="5" fillId="0" borderId="0" xfId="0" applyNumberFormat="1" applyFont="1" applyFill="1" applyBorder="1" applyAlignment="1">
      <alignment horizontal="center" vertical="center" wrapText="1"/>
    </xf>
    <xf numFmtId="164" fontId="8" fillId="8" borderId="6" xfId="1" applyNumberFormat="1" applyFill="1" applyBorder="1" applyAlignment="1">
      <alignment horizontal="center" vertical="center"/>
    </xf>
    <xf numFmtId="164" fontId="8" fillId="8" borderId="1" xfId="1" applyNumberFormat="1" applyFill="1" applyBorder="1" applyAlignment="1">
      <alignment horizontal="center" vertical="center"/>
    </xf>
    <xf numFmtId="164" fontId="8" fillId="8" borderId="3" xfId="1" applyNumberFormat="1" applyFill="1" applyBorder="1" applyAlignment="1">
      <alignment horizontal="center" vertical="center"/>
    </xf>
    <xf numFmtId="165" fontId="8" fillId="0" borderId="10" xfId="1" applyNumberFormat="1" applyBorder="1" applyAlignment="1">
      <alignment horizontal="center" vertical="center" wrapText="1"/>
    </xf>
    <xf numFmtId="165" fontId="8" fillId="0" borderId="9" xfId="1" applyNumberFormat="1" applyBorder="1" applyAlignment="1">
      <alignment horizontal="center" vertical="center" wrapText="1"/>
    </xf>
    <xf numFmtId="165" fontId="8" fillId="0" borderId="8" xfId="1" applyNumberFormat="1" applyBorder="1" applyAlignment="1">
      <alignment horizontal="center" vertical="center"/>
    </xf>
    <xf numFmtId="165" fontId="8" fillId="0" borderId="6" xfId="1" applyNumberFormat="1" applyBorder="1" applyAlignment="1">
      <alignment horizontal="center" vertical="center"/>
    </xf>
    <xf numFmtId="1" fontId="8" fillId="0" borderId="8" xfId="1" applyNumberFormat="1" applyBorder="1" applyAlignment="1">
      <alignment horizontal="center" vertical="center"/>
    </xf>
    <xf numFmtId="1" fontId="8" fillId="0" borderId="6" xfId="1" applyNumberFormat="1" applyBorder="1" applyAlignment="1">
      <alignment horizontal="center" vertical="center"/>
    </xf>
    <xf numFmtId="0" fontId="8" fillId="0" borderId="0" xfId="1" applyFill="1" applyAlignment="1">
      <alignment horizontal="center"/>
    </xf>
    <xf numFmtId="164" fontId="8" fillId="7" borderId="1" xfId="1" applyNumberFormat="1" applyFill="1" applyBorder="1" applyAlignment="1">
      <alignment horizontal="center" vertical="center"/>
    </xf>
    <xf numFmtId="164" fontId="8" fillId="7" borderId="3" xfId="1" applyNumberForma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166" fontId="0" fillId="0" borderId="8" xfId="0" applyNumberFormat="1" applyFont="1" applyFill="1" applyBorder="1" applyAlignment="1">
      <alignment horizontal="center" vertical="center" wrapText="1"/>
    </xf>
    <xf numFmtId="166" fontId="0" fillId="0" borderId="7" xfId="0" applyNumberFormat="1" applyFont="1" applyFill="1" applyBorder="1" applyAlignment="1">
      <alignment horizontal="center" vertical="center" wrapText="1"/>
    </xf>
    <xf numFmtId="166" fontId="0" fillId="0" borderId="6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9" xfId="0" applyFont="1" applyBorder="1" applyAlignment="1">
      <alignment horizontal="center" wrapText="1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Fill="1" applyBorder="1" applyAlignment="1">
      <alignment horizontal="center" vertical="center" textRotation="90"/>
    </xf>
    <xf numFmtId="0" fontId="0" fillId="0" borderId="18" xfId="0" applyFill="1" applyBorder="1" applyAlignment="1">
      <alignment horizontal="center" vertical="center" textRotation="90"/>
    </xf>
    <xf numFmtId="0" fontId="0" fillId="0" borderId="20" xfId="0" applyFill="1" applyBorder="1" applyAlignment="1">
      <alignment horizontal="center" vertical="center" textRotation="90"/>
    </xf>
    <xf numFmtId="0" fontId="0" fillId="0" borderId="15" xfId="0" applyFill="1" applyBorder="1" applyAlignment="1">
      <alignment horizontal="center" vertical="center" textRotation="90" wrapText="1"/>
    </xf>
    <xf numFmtId="0" fontId="0" fillId="0" borderId="18" xfId="0" applyFill="1" applyBorder="1" applyAlignment="1">
      <alignment horizontal="center" vertical="center" textRotation="90" wrapText="1"/>
    </xf>
    <xf numFmtId="0" fontId="0" fillId="0" borderId="20" xfId="0" applyFill="1" applyBorder="1" applyAlignment="1">
      <alignment horizontal="center" vertical="center" textRotation="90" wrapText="1"/>
    </xf>
    <xf numFmtId="0" fontId="0" fillId="0" borderId="25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165" fontId="8" fillId="0" borderId="8" xfId="1" applyNumberFormat="1" applyFill="1" applyBorder="1" applyAlignment="1">
      <alignment horizontal="center" vertical="center"/>
    </xf>
    <xf numFmtId="165" fontId="8" fillId="0" borderId="6" xfId="1" applyNumberFormat="1" applyFill="1" applyBorder="1" applyAlignment="1">
      <alignment horizontal="center" vertical="center"/>
    </xf>
  </cellXfs>
  <cellStyles count="2">
    <cellStyle name="Normál" xfId="0" builtinId="0"/>
    <cellStyle name="Normál 2" xfId="1"/>
  </cellStyles>
  <dxfs count="0"/>
  <tableStyles count="0" defaultTableStyle="TableStyleMedium2" defaultPivotStyle="PivotStyleLight16"/>
  <colors>
    <mruColors>
      <color rgb="FFFF00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62"/>
  <sheetViews>
    <sheetView tabSelected="1" zoomScaleNormal="100" workbookViewId="0">
      <selection activeCell="U15" sqref="U15"/>
    </sheetView>
  </sheetViews>
  <sheetFormatPr defaultRowHeight="15" x14ac:dyDescent="0.25"/>
  <cols>
    <col min="3" max="16" width="8.7109375" customWidth="1"/>
    <col min="17" max="30" width="9.42578125" customWidth="1"/>
    <col min="31" max="31" width="12.140625" customWidth="1"/>
    <col min="32" max="49" width="8.7109375" customWidth="1"/>
  </cols>
  <sheetData>
    <row r="1" spans="1:74" x14ac:dyDescent="0.25">
      <c r="A1" t="s">
        <v>68</v>
      </c>
      <c r="W1" s="44"/>
      <c r="X1" s="1"/>
      <c r="Y1" s="1"/>
      <c r="Z1" s="1"/>
      <c r="AA1" s="1"/>
      <c r="AB1" s="1"/>
      <c r="AC1" s="1"/>
    </row>
    <row r="2" spans="1:74" ht="15.75" customHeight="1" x14ac:dyDescent="0.25">
      <c r="B2" s="1"/>
      <c r="C2" s="160" t="s">
        <v>23</v>
      </c>
      <c r="D2" s="160"/>
      <c r="E2" s="160"/>
      <c r="F2" s="160"/>
      <c r="G2" s="2"/>
      <c r="H2" s="160" t="s">
        <v>24</v>
      </c>
      <c r="I2" s="160"/>
      <c r="J2" s="160"/>
      <c r="K2" s="160"/>
      <c r="L2" s="2"/>
      <c r="M2" s="160" t="s">
        <v>25</v>
      </c>
      <c r="N2" s="160"/>
      <c r="O2" s="160"/>
      <c r="P2" s="160"/>
      <c r="Q2" s="3"/>
      <c r="R2" s="161" t="s">
        <v>17</v>
      </c>
      <c r="S2" s="158" t="s">
        <v>22</v>
      </c>
      <c r="T2" s="159"/>
      <c r="U2" s="159"/>
      <c r="V2" s="159"/>
      <c r="W2" s="24"/>
      <c r="X2" s="45" t="s">
        <v>18</v>
      </c>
      <c r="Y2" s="158" t="s">
        <v>22</v>
      </c>
      <c r="Z2" s="159"/>
      <c r="AA2" s="159"/>
      <c r="AB2" s="159"/>
      <c r="AD2" s="3"/>
      <c r="AE2" s="1"/>
      <c r="AK2" s="3"/>
      <c r="AL2" s="156"/>
      <c r="AM2" s="156"/>
      <c r="AN2" s="156"/>
      <c r="AO2" s="156"/>
      <c r="AP2" s="156"/>
      <c r="AQ2" s="3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</row>
    <row r="3" spans="1:74" x14ac:dyDescent="0.25">
      <c r="B3" s="1"/>
      <c r="C3" s="40" t="s">
        <v>19</v>
      </c>
      <c r="D3" s="157" t="s">
        <v>20</v>
      </c>
      <c r="E3" s="157"/>
      <c r="F3" s="157"/>
      <c r="G3" s="5"/>
      <c r="H3" s="40" t="s">
        <v>19</v>
      </c>
      <c r="I3" s="157" t="s">
        <v>20</v>
      </c>
      <c r="J3" s="157"/>
      <c r="K3" s="157"/>
      <c r="L3" s="5"/>
      <c r="M3" s="40" t="s">
        <v>19</v>
      </c>
      <c r="N3" s="157" t="s">
        <v>20</v>
      </c>
      <c r="O3" s="157"/>
      <c r="P3" s="157"/>
      <c r="Q3" s="3"/>
      <c r="R3" s="162"/>
      <c r="S3" s="66" t="s">
        <v>0</v>
      </c>
      <c r="T3" s="67" t="s">
        <v>1</v>
      </c>
      <c r="U3" s="67" t="s">
        <v>2</v>
      </c>
      <c r="V3" s="67" t="s">
        <v>21</v>
      </c>
      <c r="W3" s="11"/>
      <c r="X3" s="46"/>
      <c r="Y3" s="66" t="s">
        <v>0</v>
      </c>
      <c r="Z3" s="67" t="s">
        <v>1</v>
      </c>
      <c r="AA3" s="67" t="s">
        <v>2</v>
      </c>
      <c r="AB3" s="67" t="s">
        <v>3</v>
      </c>
      <c r="AD3" s="12"/>
      <c r="AE3" s="1"/>
      <c r="AK3" s="12"/>
      <c r="AL3" s="12"/>
      <c r="AM3" s="12"/>
      <c r="AN3" s="12"/>
      <c r="AO3" s="12"/>
      <c r="AP3" s="12"/>
      <c r="AQ3" s="3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</row>
    <row r="4" spans="1:74" ht="30.75" customHeight="1" x14ac:dyDescent="0.25">
      <c r="B4" s="1"/>
      <c r="C4" s="6">
        <v>16</v>
      </c>
      <c r="D4" s="5">
        <v>30</v>
      </c>
      <c r="E4" s="5">
        <v>24</v>
      </c>
      <c r="F4" s="5">
        <v>22</v>
      </c>
      <c r="G4" s="5"/>
      <c r="H4" s="6">
        <v>18</v>
      </c>
      <c r="I4" s="5">
        <v>35</v>
      </c>
      <c r="J4" s="5">
        <v>38</v>
      </c>
      <c r="K4" s="5">
        <v>34</v>
      </c>
      <c r="L4" s="5"/>
      <c r="M4" s="6">
        <v>10</v>
      </c>
      <c r="N4" s="5">
        <v>27</v>
      </c>
      <c r="O4" s="5">
        <v>21</v>
      </c>
      <c r="P4" s="5">
        <v>24</v>
      </c>
      <c r="Q4" s="3"/>
      <c r="R4" s="65" t="s">
        <v>4</v>
      </c>
      <c r="S4" s="110">
        <f>C20</f>
        <v>11.333333333333334</v>
      </c>
      <c r="T4" s="10">
        <f>H20</f>
        <v>11.133333333333333</v>
      </c>
      <c r="U4" s="10">
        <f>M20</f>
        <v>11.642857142857142</v>
      </c>
      <c r="V4" s="10">
        <f>AVERAGE(S4:U4)</f>
        <v>11.369841269841269</v>
      </c>
      <c r="W4" s="64"/>
      <c r="X4" s="65" t="s">
        <v>4</v>
      </c>
      <c r="Y4" s="110">
        <f>D20</f>
        <v>17.68888888888889</v>
      </c>
      <c r="Z4" s="10">
        <f>I20</f>
        <v>24.024999999999999</v>
      </c>
      <c r="AA4" s="10">
        <f>N20</f>
        <v>24.023809523809526</v>
      </c>
      <c r="AB4" s="10">
        <f>AVERAGE(Y4:AA4)</f>
        <v>21.912566137566142</v>
      </c>
      <c r="AD4" s="7"/>
      <c r="AE4" s="1"/>
      <c r="AK4" s="7"/>
      <c r="AL4" s="43"/>
      <c r="AM4" s="43"/>
      <c r="AN4" s="43"/>
      <c r="AO4" s="43"/>
      <c r="AP4" s="43"/>
      <c r="AQ4" s="3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</row>
    <row r="5" spans="1:74" ht="42" customHeight="1" x14ac:dyDescent="0.25">
      <c r="B5" s="1"/>
      <c r="C5" s="6">
        <v>14</v>
      </c>
      <c r="D5" s="5">
        <v>21</v>
      </c>
      <c r="E5" s="5">
        <v>23</v>
      </c>
      <c r="F5" s="5">
        <v>19</v>
      </c>
      <c r="G5" s="5"/>
      <c r="H5" s="6">
        <v>16</v>
      </c>
      <c r="I5" s="5">
        <v>42</v>
      </c>
      <c r="J5" s="5">
        <v>30</v>
      </c>
      <c r="K5" s="5">
        <v>24</v>
      </c>
      <c r="L5" s="5"/>
      <c r="M5" s="6">
        <v>13</v>
      </c>
      <c r="N5" s="5">
        <v>21</v>
      </c>
      <c r="O5" s="5">
        <v>27</v>
      </c>
      <c r="P5" s="5">
        <v>20</v>
      </c>
      <c r="Q5" s="3"/>
      <c r="R5" s="65" t="s">
        <v>5</v>
      </c>
      <c r="S5" s="110">
        <f>C42</f>
        <v>6.4666666666666668</v>
      </c>
      <c r="T5" s="10">
        <f>H42</f>
        <v>6.7333333333333334</v>
      </c>
      <c r="U5" s="10">
        <f>M42</f>
        <v>7.8125</v>
      </c>
      <c r="V5" s="10">
        <f t="shared" ref="V5:V6" si="0">AVERAGE(S5:U5)</f>
        <v>7.0041666666666664</v>
      </c>
      <c r="W5" s="64"/>
      <c r="X5" s="65" t="s">
        <v>5</v>
      </c>
      <c r="Y5" s="110">
        <f>D42</f>
        <v>21.627906976744185</v>
      </c>
      <c r="Z5" s="10">
        <f>I42</f>
        <v>20.68888888888889</v>
      </c>
      <c r="AA5" s="10">
        <f>N42</f>
        <v>22.297872340425531</v>
      </c>
      <c r="AB5" s="10">
        <f t="shared" ref="AB5:AB7" si="1">AVERAGE(Y5:AA5)</f>
        <v>21.538222735352871</v>
      </c>
      <c r="AD5" s="7"/>
      <c r="AE5" s="30"/>
      <c r="AK5" s="7"/>
      <c r="AL5" s="8"/>
      <c r="AM5" s="8"/>
      <c r="AN5" s="8"/>
      <c r="AO5" s="8"/>
      <c r="AP5" s="8"/>
      <c r="AQ5" s="3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</row>
    <row r="6" spans="1:74" ht="30.75" customHeight="1" x14ac:dyDescent="0.25">
      <c r="B6" s="1"/>
      <c r="C6" s="6">
        <v>10</v>
      </c>
      <c r="D6" s="5">
        <v>19</v>
      </c>
      <c r="E6" s="5">
        <v>18</v>
      </c>
      <c r="F6" s="5">
        <v>18</v>
      </c>
      <c r="G6" s="5"/>
      <c r="H6" s="6">
        <v>14</v>
      </c>
      <c r="I6" s="5">
        <v>41</v>
      </c>
      <c r="J6" s="5">
        <v>28</v>
      </c>
      <c r="K6" s="5">
        <v>27</v>
      </c>
      <c r="L6" s="5"/>
      <c r="M6" s="6">
        <v>9</v>
      </c>
      <c r="N6" s="5">
        <v>24</v>
      </c>
      <c r="O6" s="5">
        <v>28</v>
      </c>
      <c r="P6" s="5">
        <v>17</v>
      </c>
      <c r="Q6" s="3"/>
      <c r="R6" s="65" t="s">
        <v>6</v>
      </c>
      <c r="S6" s="110">
        <f>S42</f>
        <v>9</v>
      </c>
      <c r="T6" s="10">
        <f>X42</f>
        <v>8.25</v>
      </c>
      <c r="U6" s="10">
        <f>AC42</f>
        <v>6.1333333333333337</v>
      </c>
      <c r="V6" s="10">
        <f t="shared" si="0"/>
        <v>7.7944444444444443</v>
      </c>
      <c r="W6" s="64"/>
      <c r="X6" s="65" t="s">
        <v>6</v>
      </c>
      <c r="Y6" s="110">
        <f>T42</f>
        <v>17.583333333333332</v>
      </c>
      <c r="Z6" s="10">
        <f>Y42</f>
        <v>19.297872340425531</v>
      </c>
      <c r="AA6" s="10"/>
      <c r="AB6" s="10">
        <f t="shared" si="1"/>
        <v>18.440602836879432</v>
      </c>
      <c r="AD6" s="7"/>
      <c r="AE6" s="30"/>
      <c r="AK6" s="7"/>
      <c r="AL6" s="8"/>
      <c r="AM6" s="8"/>
      <c r="AN6" s="8"/>
      <c r="AO6" s="8"/>
      <c r="AP6" s="8"/>
      <c r="AQ6" s="3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</row>
    <row r="7" spans="1:74" ht="30.75" customHeight="1" x14ac:dyDescent="0.25">
      <c r="B7" s="1"/>
      <c r="C7" s="6">
        <v>20</v>
      </c>
      <c r="D7" s="5">
        <v>29</v>
      </c>
      <c r="E7" s="5">
        <v>31</v>
      </c>
      <c r="F7" s="5">
        <v>20</v>
      </c>
      <c r="G7" s="5"/>
      <c r="H7" s="6">
        <v>10</v>
      </c>
      <c r="I7" s="5">
        <v>38</v>
      </c>
      <c r="J7" s="5">
        <v>24</v>
      </c>
      <c r="K7" s="5">
        <v>21</v>
      </c>
      <c r="L7" s="5"/>
      <c r="M7" s="6">
        <v>11</v>
      </c>
      <c r="N7" s="5">
        <v>25</v>
      </c>
      <c r="O7" s="5">
        <v>19</v>
      </c>
      <c r="P7" s="5">
        <v>22</v>
      </c>
      <c r="Q7" s="3"/>
      <c r="R7" s="65" t="s">
        <v>7</v>
      </c>
      <c r="S7" s="110">
        <f>AI42</f>
        <v>11.333333333333334</v>
      </c>
      <c r="T7" s="10">
        <f>AN42</f>
        <v>8.1333333333333329</v>
      </c>
      <c r="U7" s="10">
        <f>AS42</f>
        <v>7.4666666666666668</v>
      </c>
      <c r="V7" s="10">
        <f>AVERAGE(S7:U7)</f>
        <v>8.9777777777777796</v>
      </c>
      <c r="W7" s="64"/>
      <c r="X7" s="65" t="s">
        <v>7</v>
      </c>
      <c r="Y7" s="110">
        <f>AJ42</f>
        <v>17.111111111111111</v>
      </c>
      <c r="Z7" s="10">
        <f>AO42</f>
        <v>21.386363636363637</v>
      </c>
      <c r="AA7" s="10">
        <f>AT42</f>
        <v>20</v>
      </c>
      <c r="AB7" s="10">
        <f t="shared" si="1"/>
        <v>19.499158249158249</v>
      </c>
      <c r="AD7" s="7"/>
      <c r="AE7" s="30"/>
      <c r="AK7" s="7"/>
      <c r="AL7" s="8"/>
      <c r="AM7" s="8"/>
      <c r="AN7" s="8"/>
      <c r="AO7" s="8"/>
      <c r="AP7" s="8"/>
      <c r="AQ7" s="3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</row>
    <row r="8" spans="1:74" x14ac:dyDescent="0.25">
      <c r="B8" s="1"/>
      <c r="C8" s="6">
        <v>9</v>
      </c>
      <c r="D8" s="5">
        <v>10</v>
      </c>
      <c r="E8" s="5">
        <v>12</v>
      </c>
      <c r="F8" s="5">
        <v>3</v>
      </c>
      <c r="G8" s="5"/>
      <c r="H8" s="6">
        <v>11</v>
      </c>
      <c r="I8" s="5">
        <v>16</v>
      </c>
      <c r="J8" s="5">
        <v>0</v>
      </c>
      <c r="K8" s="5">
        <v>25</v>
      </c>
      <c r="L8" s="5"/>
      <c r="M8" s="6">
        <v>11</v>
      </c>
      <c r="N8" s="5">
        <v>26</v>
      </c>
      <c r="O8" s="5">
        <v>21</v>
      </c>
      <c r="P8" s="5">
        <v>24</v>
      </c>
      <c r="Q8" s="3"/>
      <c r="W8" s="44"/>
      <c r="X8" s="1"/>
      <c r="Y8" s="1"/>
      <c r="Z8" s="1"/>
      <c r="AA8" s="1"/>
      <c r="AB8" s="1"/>
      <c r="AC8" s="1"/>
      <c r="AD8" s="1"/>
      <c r="AE8" s="30"/>
      <c r="AK8" s="1"/>
      <c r="AL8" s="1"/>
      <c r="AM8" s="1"/>
      <c r="AN8" s="1"/>
      <c r="AO8" s="1"/>
      <c r="AP8" s="1"/>
      <c r="AQ8" s="3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</row>
    <row r="9" spans="1:74" x14ac:dyDescent="0.25">
      <c r="B9" s="1"/>
      <c r="C9" s="6">
        <v>0</v>
      </c>
      <c r="D9" s="5">
        <v>0</v>
      </c>
      <c r="E9" s="5">
        <v>0</v>
      </c>
      <c r="F9" s="5">
        <v>0</v>
      </c>
      <c r="G9" s="5"/>
      <c r="H9" s="6">
        <v>5</v>
      </c>
      <c r="I9" s="5">
        <v>0</v>
      </c>
      <c r="J9" s="5">
        <v>0</v>
      </c>
      <c r="K9" s="5">
        <v>0</v>
      </c>
      <c r="L9" s="5"/>
      <c r="M9" s="6">
        <v>12</v>
      </c>
      <c r="N9" s="5">
        <v>21</v>
      </c>
      <c r="O9" s="5">
        <v>21</v>
      </c>
      <c r="P9" s="5">
        <v>24</v>
      </c>
      <c r="Q9" s="3"/>
      <c r="R9" s="30" t="s">
        <v>87</v>
      </c>
      <c r="S9" s="8"/>
      <c r="T9" s="9"/>
      <c r="U9" s="9"/>
      <c r="V9" s="62"/>
      <c r="W9" s="9"/>
      <c r="X9" s="7"/>
      <c r="Y9" s="8"/>
      <c r="Z9" s="8"/>
      <c r="AA9" s="8"/>
      <c r="AB9" s="8"/>
      <c r="AC9" s="8"/>
      <c r="AD9" s="1"/>
      <c r="AE9" s="2"/>
      <c r="AF9" s="8"/>
      <c r="AG9" s="8"/>
      <c r="AH9" s="8"/>
      <c r="AI9" s="7"/>
      <c r="AJ9" s="7"/>
      <c r="AK9" s="7"/>
      <c r="AL9" s="8"/>
      <c r="AM9" s="8"/>
      <c r="AN9" s="8"/>
      <c r="AO9" s="8"/>
      <c r="AP9" s="8"/>
      <c r="AQ9" s="3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</row>
    <row r="10" spans="1:74" x14ac:dyDescent="0.25">
      <c r="B10" s="1"/>
      <c r="C10" s="6">
        <v>10</v>
      </c>
      <c r="D10" s="5">
        <v>26</v>
      </c>
      <c r="E10" s="5">
        <v>27</v>
      </c>
      <c r="F10" s="5">
        <v>13</v>
      </c>
      <c r="G10" s="5"/>
      <c r="H10" s="6">
        <v>20</v>
      </c>
      <c r="I10" s="5">
        <v>31</v>
      </c>
      <c r="J10" s="5">
        <v>29</v>
      </c>
      <c r="K10" s="5">
        <v>15</v>
      </c>
      <c r="L10" s="5"/>
      <c r="M10" s="6">
        <v>0</v>
      </c>
      <c r="N10" s="5">
        <v>0</v>
      </c>
      <c r="O10" s="5">
        <v>0</v>
      </c>
      <c r="P10" s="5">
        <v>0</v>
      </c>
      <c r="Q10" s="3"/>
      <c r="R10" t="s">
        <v>88</v>
      </c>
      <c r="S10" s="2"/>
      <c r="T10" s="10"/>
      <c r="U10" s="11"/>
      <c r="V10" s="63"/>
      <c r="W10" s="2"/>
      <c r="X10" s="7"/>
      <c r="Y10" s="13"/>
      <c r="Z10" s="13"/>
      <c r="AA10" s="13"/>
      <c r="AB10" s="13"/>
      <c r="AC10" s="13"/>
      <c r="AD10" s="1"/>
      <c r="AE10" s="1"/>
      <c r="AF10" s="1"/>
      <c r="AG10" s="1"/>
      <c r="AH10" s="1"/>
      <c r="AI10" s="3"/>
      <c r="AJ10" s="3"/>
      <c r="AK10" s="3"/>
      <c r="AL10" s="3"/>
      <c r="AM10" s="3"/>
      <c r="AN10" s="3"/>
      <c r="AO10" s="3"/>
      <c r="AP10" s="3"/>
      <c r="AQ10" s="3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</row>
    <row r="11" spans="1:74" x14ac:dyDescent="0.25">
      <c r="B11" s="1"/>
      <c r="C11" s="6">
        <v>15</v>
      </c>
      <c r="D11" s="5">
        <v>27</v>
      </c>
      <c r="E11" s="5">
        <v>16</v>
      </c>
      <c r="F11" s="5">
        <v>15</v>
      </c>
      <c r="G11" s="5"/>
      <c r="H11" s="6">
        <v>11</v>
      </c>
      <c r="I11" s="5">
        <v>10</v>
      </c>
      <c r="J11" s="5">
        <v>10</v>
      </c>
      <c r="K11" s="5">
        <v>0</v>
      </c>
      <c r="L11" s="5"/>
      <c r="M11" s="6">
        <v>0</v>
      </c>
      <c r="N11" s="5">
        <v>0</v>
      </c>
      <c r="O11" s="5">
        <v>0</v>
      </c>
      <c r="P11" s="5">
        <v>0</v>
      </c>
      <c r="Q11" s="3"/>
      <c r="R11" s="30"/>
      <c r="S11" s="2"/>
      <c r="T11" s="14"/>
      <c r="U11" s="15"/>
      <c r="V11" s="2"/>
      <c r="W11" s="2"/>
      <c r="X11" s="16"/>
      <c r="Y11" s="17"/>
      <c r="Z11" s="17"/>
      <c r="AA11" s="17"/>
      <c r="AB11" s="17"/>
      <c r="AC11" s="17"/>
      <c r="AD11" s="1"/>
      <c r="AE11" s="1"/>
      <c r="AF11" s="1"/>
      <c r="AG11" s="1"/>
      <c r="AH11" s="1"/>
      <c r="AI11" s="3"/>
      <c r="AJ11" s="3"/>
      <c r="AK11" s="3"/>
      <c r="AL11" s="3"/>
      <c r="AM11" s="3"/>
      <c r="AN11" s="3"/>
      <c r="AO11" s="3"/>
      <c r="AP11" s="3"/>
      <c r="AQ11" s="3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</row>
    <row r="12" spans="1:74" x14ac:dyDescent="0.25">
      <c r="B12" s="1"/>
      <c r="C12" s="6">
        <v>9</v>
      </c>
      <c r="D12" s="5">
        <v>15</v>
      </c>
      <c r="E12" s="5">
        <v>23</v>
      </c>
      <c r="F12" s="5">
        <v>19</v>
      </c>
      <c r="G12" s="5"/>
      <c r="H12" s="6">
        <v>9</v>
      </c>
      <c r="I12" s="5">
        <v>18</v>
      </c>
      <c r="J12" s="5">
        <v>25</v>
      </c>
      <c r="K12" s="5">
        <v>21</v>
      </c>
      <c r="L12" s="5"/>
      <c r="M12" s="6">
        <v>11</v>
      </c>
      <c r="N12" s="5">
        <v>26</v>
      </c>
      <c r="O12" s="5">
        <v>27</v>
      </c>
      <c r="P12" s="5">
        <v>23</v>
      </c>
      <c r="Q12" s="3"/>
      <c r="R12" s="18"/>
      <c r="S12" s="2"/>
      <c r="T12" s="14"/>
      <c r="U12" s="15"/>
      <c r="V12" s="9"/>
      <c r="W12" s="2"/>
      <c r="X12" s="19"/>
      <c r="Y12" s="18"/>
      <c r="Z12" s="3"/>
      <c r="AA12" s="30"/>
      <c r="AC12" s="18"/>
      <c r="AD12" s="18"/>
      <c r="AE12" s="18"/>
      <c r="AF12" s="18"/>
      <c r="AG12" s="20"/>
      <c r="AH12" s="20"/>
      <c r="AI12" s="3"/>
      <c r="AJ12" s="3"/>
      <c r="AK12" s="3"/>
      <c r="AL12" s="3"/>
      <c r="AM12" s="3"/>
      <c r="AN12" s="3"/>
      <c r="AO12" s="3"/>
      <c r="AP12" s="3"/>
      <c r="AQ12" s="3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</row>
    <row r="13" spans="1:74" ht="14.25" customHeight="1" x14ac:dyDescent="0.25">
      <c r="B13" s="1"/>
      <c r="C13" s="6">
        <v>11</v>
      </c>
      <c r="D13" s="5">
        <v>24</v>
      </c>
      <c r="E13" s="5">
        <v>19</v>
      </c>
      <c r="F13" s="5">
        <v>25</v>
      </c>
      <c r="G13" s="5"/>
      <c r="H13" s="6">
        <v>5</v>
      </c>
      <c r="I13" s="5">
        <v>1</v>
      </c>
      <c r="J13" s="5">
        <v>1</v>
      </c>
      <c r="K13" s="5">
        <v>0</v>
      </c>
      <c r="L13" s="5"/>
      <c r="M13" s="6">
        <v>14</v>
      </c>
      <c r="N13" s="5">
        <v>24</v>
      </c>
      <c r="O13" s="5">
        <v>28</v>
      </c>
      <c r="P13" s="5">
        <v>21</v>
      </c>
      <c r="Q13" s="3"/>
      <c r="R13" s="18"/>
      <c r="S13" s="21"/>
      <c r="T13" s="22"/>
      <c r="U13" s="23"/>
      <c r="V13" s="24"/>
      <c r="W13" s="21"/>
      <c r="X13" s="19"/>
      <c r="Y13" s="18"/>
      <c r="Z13" s="25"/>
      <c r="AA13" s="25"/>
      <c r="AB13" s="25"/>
      <c r="AC13" s="18"/>
      <c r="AD13" s="18"/>
      <c r="AE13" s="18"/>
      <c r="AF13" s="18"/>
      <c r="AG13" s="20"/>
      <c r="AH13" s="20"/>
      <c r="AI13" s="3"/>
      <c r="AJ13" s="3"/>
      <c r="AK13" s="3"/>
      <c r="AL13" s="3"/>
      <c r="AM13" s="3"/>
      <c r="AN13" s="3"/>
      <c r="AO13" s="3"/>
      <c r="AP13" s="3"/>
      <c r="AQ13" s="3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</row>
    <row r="14" spans="1:74" x14ac:dyDescent="0.25">
      <c r="B14" s="1"/>
      <c r="C14" s="6">
        <v>11</v>
      </c>
      <c r="D14" s="5">
        <v>9</v>
      </c>
      <c r="E14" s="5">
        <v>1</v>
      </c>
      <c r="F14" s="5">
        <v>3</v>
      </c>
      <c r="G14" s="5"/>
      <c r="H14" s="6">
        <v>18</v>
      </c>
      <c r="I14" s="5">
        <v>35</v>
      </c>
      <c r="J14" s="5">
        <v>26</v>
      </c>
      <c r="K14" s="5">
        <v>29</v>
      </c>
      <c r="L14" s="5"/>
      <c r="M14" s="6">
        <v>12</v>
      </c>
      <c r="N14" s="5">
        <v>32</v>
      </c>
      <c r="O14" s="5">
        <v>26</v>
      </c>
      <c r="P14" s="5">
        <v>20</v>
      </c>
      <c r="Q14" s="3"/>
      <c r="R14" s="23"/>
      <c r="S14" s="21"/>
      <c r="T14" s="22"/>
      <c r="U14" s="23"/>
      <c r="V14" s="15"/>
      <c r="W14" s="21"/>
      <c r="X14" s="26"/>
      <c r="Y14" s="1"/>
      <c r="Z14" s="1"/>
      <c r="AA14" s="1"/>
      <c r="AB14" s="1"/>
      <c r="AC14" s="1"/>
      <c r="AD14" s="20"/>
      <c r="AE14" s="20"/>
      <c r="AF14" s="20"/>
      <c r="AG14" s="20"/>
      <c r="AH14" s="20"/>
      <c r="AI14" s="3"/>
      <c r="AJ14" s="3"/>
      <c r="AK14" s="3"/>
      <c r="AL14" s="3"/>
      <c r="AM14" s="3"/>
      <c r="AN14" s="3"/>
      <c r="AO14" s="3"/>
      <c r="AP14" s="3"/>
      <c r="AQ14" s="3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</row>
    <row r="15" spans="1:74" x14ac:dyDescent="0.25">
      <c r="B15" s="1"/>
      <c r="C15" s="6">
        <v>6</v>
      </c>
      <c r="D15" s="5">
        <v>16</v>
      </c>
      <c r="E15" s="5">
        <v>11</v>
      </c>
      <c r="F15" s="5">
        <v>14</v>
      </c>
      <c r="G15" s="5"/>
      <c r="H15" s="6">
        <v>4</v>
      </c>
      <c r="I15" s="5">
        <v>24</v>
      </c>
      <c r="J15" s="5">
        <v>17</v>
      </c>
      <c r="K15" s="5">
        <v>21</v>
      </c>
      <c r="L15" s="5"/>
      <c r="M15" s="6">
        <v>14</v>
      </c>
      <c r="N15" s="5">
        <v>31</v>
      </c>
      <c r="O15" s="5">
        <v>25</v>
      </c>
      <c r="P15" s="5">
        <v>30</v>
      </c>
      <c r="Q15" s="3"/>
      <c r="R15" s="23"/>
      <c r="S15" s="21"/>
      <c r="T15" s="27"/>
      <c r="U15" s="28"/>
      <c r="V15" s="15"/>
      <c r="W15" s="21"/>
      <c r="X15" s="26"/>
      <c r="Y15" s="1"/>
      <c r="Z15" s="1"/>
      <c r="AA15" s="1"/>
      <c r="AB15" s="1"/>
      <c r="AC15" s="1"/>
      <c r="AD15" s="20"/>
      <c r="AE15" s="20"/>
      <c r="AF15" s="20"/>
      <c r="AG15" s="20"/>
      <c r="AH15" s="20"/>
      <c r="AI15" s="3"/>
      <c r="AJ15" s="3"/>
      <c r="AK15" s="3"/>
      <c r="AL15" s="3"/>
      <c r="AM15" s="3"/>
      <c r="AN15" s="3"/>
      <c r="AO15" s="3"/>
      <c r="AP15" s="3"/>
      <c r="AQ15" s="3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</row>
    <row r="16" spans="1:74" x14ac:dyDescent="0.25">
      <c r="B16" s="1"/>
      <c r="C16" s="6">
        <v>15</v>
      </c>
      <c r="D16" s="5">
        <v>20</v>
      </c>
      <c r="E16" s="5">
        <v>29</v>
      </c>
      <c r="F16" s="5">
        <v>22</v>
      </c>
      <c r="G16" s="5"/>
      <c r="H16" s="6">
        <v>5</v>
      </c>
      <c r="I16" s="5">
        <v>21</v>
      </c>
      <c r="J16" s="5">
        <v>16</v>
      </c>
      <c r="K16" s="5">
        <v>24</v>
      </c>
      <c r="L16" s="5"/>
      <c r="M16" s="6">
        <v>9</v>
      </c>
      <c r="N16" s="5">
        <v>27</v>
      </c>
      <c r="O16" s="5">
        <v>23</v>
      </c>
      <c r="P16" s="5">
        <v>30</v>
      </c>
      <c r="Q16" s="3"/>
      <c r="R16" s="1"/>
      <c r="S16" s="29"/>
      <c r="T16" s="10"/>
      <c r="U16" s="11"/>
      <c r="V16" s="23"/>
      <c r="W16" s="29"/>
      <c r="X16" s="41"/>
      <c r="Y16" s="30"/>
      <c r="Z16" s="1"/>
      <c r="AA16" s="1"/>
      <c r="AB16" s="1"/>
      <c r="AC16" s="1"/>
      <c r="AD16" s="20"/>
      <c r="AE16" s="20"/>
      <c r="AF16" s="20"/>
      <c r="AG16" s="20"/>
      <c r="AH16" s="20"/>
      <c r="AI16" s="3"/>
      <c r="AJ16" s="3"/>
      <c r="AK16" s="3"/>
      <c r="AL16" s="3"/>
      <c r="AM16" s="3"/>
      <c r="AN16" s="3"/>
      <c r="AO16" s="3"/>
      <c r="AP16" s="3"/>
      <c r="AQ16" s="3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</row>
    <row r="17" spans="2:74" x14ac:dyDescent="0.25">
      <c r="B17" s="1"/>
      <c r="C17" s="6">
        <v>9</v>
      </c>
      <c r="D17" s="5">
        <v>20</v>
      </c>
      <c r="E17" s="5">
        <v>23</v>
      </c>
      <c r="F17" s="5">
        <v>19</v>
      </c>
      <c r="G17" s="5"/>
      <c r="H17" s="6">
        <v>11</v>
      </c>
      <c r="I17" s="5">
        <v>35</v>
      </c>
      <c r="J17" s="5">
        <v>19</v>
      </c>
      <c r="K17" s="5">
        <v>21</v>
      </c>
      <c r="L17" s="5"/>
      <c r="M17" s="6">
        <v>10</v>
      </c>
      <c r="N17" s="5">
        <v>21</v>
      </c>
      <c r="O17" s="5">
        <v>27</v>
      </c>
      <c r="P17" s="5">
        <v>20</v>
      </c>
      <c r="Q17" s="3"/>
      <c r="R17" s="30"/>
      <c r="S17" s="29"/>
      <c r="T17" s="14"/>
      <c r="U17" s="14"/>
      <c r="V17" s="23"/>
      <c r="W17" s="29"/>
      <c r="X17" s="41"/>
      <c r="Y17" s="30"/>
      <c r="Z17" s="30"/>
      <c r="AA17" s="30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</row>
    <row r="18" spans="2:74" x14ac:dyDescent="0.25">
      <c r="B18" s="1"/>
      <c r="C18" s="6">
        <v>9</v>
      </c>
      <c r="D18" s="5">
        <v>21</v>
      </c>
      <c r="E18" s="5">
        <v>15</v>
      </c>
      <c r="F18" s="5">
        <v>17</v>
      </c>
      <c r="G18" s="5"/>
      <c r="H18" s="6">
        <v>10</v>
      </c>
      <c r="I18" s="5">
        <v>32</v>
      </c>
      <c r="J18" s="5">
        <v>31</v>
      </c>
      <c r="K18" s="5">
        <v>25</v>
      </c>
      <c r="L18" s="5"/>
      <c r="M18" s="6">
        <v>11</v>
      </c>
      <c r="N18" s="5">
        <v>24</v>
      </c>
      <c r="O18" s="5">
        <v>22</v>
      </c>
      <c r="P18" s="5">
        <v>21</v>
      </c>
      <c r="Q18" s="3"/>
      <c r="R18" s="30"/>
      <c r="S18" s="29"/>
      <c r="T18" s="14"/>
      <c r="U18" s="14"/>
      <c r="V18" s="28"/>
      <c r="W18" s="29"/>
      <c r="X18" s="41"/>
      <c r="Y18" s="30"/>
      <c r="Z18" s="30"/>
      <c r="AA18" s="30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</row>
    <row r="19" spans="2:74" x14ac:dyDescent="0.25">
      <c r="B19" s="1"/>
      <c r="C19" s="4">
        <v>6</v>
      </c>
      <c r="D19" s="31">
        <v>3</v>
      </c>
      <c r="E19" s="31">
        <v>2</v>
      </c>
      <c r="F19" s="31">
        <v>3</v>
      </c>
      <c r="G19" s="5"/>
      <c r="H19" s="4">
        <v>0</v>
      </c>
      <c r="I19" s="31">
        <v>1</v>
      </c>
      <c r="J19" s="31">
        <v>0</v>
      </c>
      <c r="K19" s="31">
        <v>0</v>
      </c>
      <c r="L19" s="5"/>
      <c r="M19" s="4">
        <v>16</v>
      </c>
      <c r="N19" s="31">
        <v>23</v>
      </c>
      <c r="O19" s="31">
        <v>20</v>
      </c>
      <c r="P19" s="31">
        <v>26</v>
      </c>
      <c r="Q19" s="3"/>
      <c r="R19" s="30"/>
      <c r="S19" s="21"/>
      <c r="T19" s="42"/>
      <c r="U19" s="30"/>
      <c r="V19" s="11"/>
      <c r="W19" s="21"/>
      <c r="X19" s="41"/>
      <c r="Y19" s="30"/>
      <c r="Z19" s="30"/>
      <c r="AA19" s="30"/>
      <c r="AD19" s="1"/>
      <c r="AE19" s="1"/>
      <c r="AF19" s="1"/>
      <c r="AG19" s="1"/>
      <c r="AH19" s="1"/>
      <c r="AI19" s="3"/>
      <c r="AJ19" s="3"/>
      <c r="AK19" s="3"/>
      <c r="AL19" s="3"/>
      <c r="AM19" s="3"/>
      <c r="AN19" s="3"/>
      <c r="AO19" s="3"/>
      <c r="AP19" s="3"/>
      <c r="AQ19" s="3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</row>
    <row r="20" spans="2:74" x14ac:dyDescent="0.25">
      <c r="B20" s="32" t="s">
        <v>21</v>
      </c>
      <c r="C20" s="33">
        <f>AVERAGE(C10:C19,C4:C8)</f>
        <v>11.333333333333334</v>
      </c>
      <c r="D20" s="163">
        <f>AVERAGE(D10:F19,D4:F8)</f>
        <v>17.68888888888889</v>
      </c>
      <c r="E20" s="163"/>
      <c r="F20" s="163"/>
      <c r="G20" s="34"/>
      <c r="H20" s="33">
        <f>AVERAGE(H4:H18)</f>
        <v>11.133333333333333</v>
      </c>
      <c r="I20" s="163">
        <f>AVERAGE(I10:J18,I19,K14:K18,K12,K10,I4:K7,I8,K8)</f>
        <v>24.024999999999999</v>
      </c>
      <c r="J20" s="163"/>
      <c r="K20" s="163"/>
      <c r="L20" s="34"/>
      <c r="M20" s="33">
        <f>AVERAGE(M12:M19,M4:M9)</f>
        <v>11.642857142857142</v>
      </c>
      <c r="N20" s="163">
        <f>AVERAGE(N12:P19,N4:P9)</f>
        <v>24.023809523809526</v>
      </c>
      <c r="O20" s="163"/>
      <c r="P20" s="163"/>
      <c r="Q20" s="3"/>
      <c r="R20" s="2"/>
      <c r="S20" s="21"/>
      <c r="T20" s="35"/>
      <c r="U20" s="20"/>
      <c r="V20" s="14"/>
      <c r="W20" s="21"/>
      <c r="X20" s="7"/>
      <c r="Y20" s="8"/>
      <c r="Z20" s="8"/>
      <c r="AA20" s="8"/>
      <c r="AB20" s="8"/>
      <c r="AC20" s="8"/>
      <c r="AD20" s="1"/>
      <c r="AE20" s="1"/>
      <c r="AF20" s="1"/>
      <c r="AG20" s="1"/>
      <c r="AH20" s="1"/>
      <c r="AI20" s="3"/>
      <c r="AJ20" s="3"/>
      <c r="AK20" s="3"/>
      <c r="AL20" s="3"/>
      <c r="AM20" s="3"/>
      <c r="AN20" s="3"/>
      <c r="AO20" s="3"/>
      <c r="AP20" s="3"/>
      <c r="AQ20" s="3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</row>
    <row r="21" spans="2:74" x14ac:dyDescent="0.25">
      <c r="B21" s="1"/>
      <c r="C21" s="37"/>
      <c r="D21" s="164"/>
      <c r="E21" s="164"/>
      <c r="F21" s="164"/>
      <c r="G21" s="37"/>
      <c r="H21" s="37"/>
      <c r="I21" s="164"/>
      <c r="J21" s="164"/>
      <c r="K21" s="164"/>
      <c r="L21" s="37"/>
      <c r="M21" s="37"/>
      <c r="N21" s="164"/>
      <c r="O21" s="164"/>
      <c r="P21" s="164"/>
      <c r="Q21" s="3"/>
      <c r="R21" s="2"/>
      <c r="S21" s="21"/>
      <c r="T21" s="35"/>
      <c r="U21" s="20"/>
      <c r="V21" s="14"/>
      <c r="W21" s="21"/>
      <c r="X21" s="7"/>
      <c r="Y21" s="8"/>
      <c r="Z21" s="8"/>
      <c r="AA21" s="8"/>
      <c r="AB21" s="8"/>
      <c r="AC21" s="8"/>
      <c r="AD21" s="1"/>
      <c r="AE21" s="1"/>
      <c r="AF21" s="1"/>
      <c r="AG21" s="1"/>
      <c r="AH21" s="1"/>
      <c r="AI21" s="3"/>
      <c r="AJ21" s="3"/>
      <c r="AK21" s="3"/>
      <c r="AL21" s="3"/>
      <c r="AM21" s="3"/>
      <c r="AN21" s="3"/>
      <c r="AO21" s="3"/>
      <c r="AP21" s="3"/>
      <c r="AQ21" s="3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</row>
    <row r="22" spans="2:74" x14ac:dyDescent="0.25">
      <c r="B22" s="1"/>
      <c r="C22" s="35"/>
      <c r="D22" s="166"/>
      <c r="E22" s="166"/>
      <c r="F22" s="166"/>
      <c r="G22" s="35"/>
      <c r="H22" s="35"/>
      <c r="I22" s="166"/>
      <c r="J22" s="166"/>
      <c r="K22" s="166"/>
      <c r="L22" s="35"/>
      <c r="M22" s="35"/>
      <c r="N22" s="166"/>
      <c r="O22" s="166"/>
      <c r="P22" s="166"/>
      <c r="Q22" s="3"/>
      <c r="R22" s="2"/>
      <c r="S22" s="29"/>
      <c r="T22" s="20"/>
      <c r="U22" s="20"/>
      <c r="V22" s="36"/>
      <c r="W22" s="36"/>
      <c r="X22" s="36"/>
      <c r="Y22" s="20"/>
      <c r="Z22" s="20"/>
      <c r="AA22" s="20"/>
      <c r="AB22" s="20"/>
      <c r="AC22" s="20"/>
      <c r="AD22" s="1"/>
      <c r="AE22" s="1"/>
      <c r="AF22" s="1"/>
      <c r="AG22" s="1"/>
      <c r="AH22" s="1"/>
      <c r="AI22" s="3"/>
      <c r="AJ22" s="3"/>
      <c r="AK22" s="3"/>
      <c r="AL22" s="3"/>
      <c r="AM22" s="3"/>
      <c r="AN22" s="3"/>
      <c r="AO22" s="3"/>
      <c r="AP22" s="3"/>
      <c r="AQ22" s="3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</row>
    <row r="23" spans="2:74" x14ac:dyDescent="0.25">
      <c r="B23" s="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2"/>
      <c r="S23" s="20"/>
      <c r="T23" s="20"/>
      <c r="U23" s="20"/>
      <c r="V23" s="36"/>
      <c r="W23" s="36"/>
      <c r="X23" s="36"/>
      <c r="Y23" s="20"/>
      <c r="Z23" s="20"/>
      <c r="AA23" s="20"/>
      <c r="AB23" s="20"/>
      <c r="AC23" s="20"/>
      <c r="AD23" s="1"/>
      <c r="AE23" s="1"/>
      <c r="AF23" s="1"/>
      <c r="AG23" s="1"/>
      <c r="AH23" s="1"/>
      <c r="AI23" s="3"/>
      <c r="AJ23" s="3"/>
      <c r="AK23" s="3"/>
      <c r="AL23" s="3"/>
      <c r="AM23" s="3"/>
      <c r="AN23" s="3"/>
      <c r="AO23" s="3"/>
      <c r="AP23" s="3"/>
      <c r="AQ23" s="3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</row>
    <row r="24" spans="2:74" x14ac:dyDescent="0.25">
      <c r="B24" s="1"/>
      <c r="C24" s="167" t="s">
        <v>8</v>
      </c>
      <c r="D24" s="167"/>
      <c r="E24" s="167"/>
      <c r="F24" s="167"/>
      <c r="G24" s="3"/>
      <c r="H24" s="167" t="s">
        <v>9</v>
      </c>
      <c r="I24" s="167"/>
      <c r="J24" s="167"/>
      <c r="K24" s="167"/>
      <c r="L24" s="3"/>
      <c r="M24" s="167" t="s">
        <v>10</v>
      </c>
      <c r="N24" s="167"/>
      <c r="O24" s="167"/>
      <c r="P24" s="167"/>
      <c r="Q24" s="3"/>
      <c r="R24" s="1"/>
      <c r="S24" s="168" t="s">
        <v>11</v>
      </c>
      <c r="T24" s="168"/>
      <c r="U24" s="168"/>
      <c r="V24" s="168"/>
      <c r="W24" s="3"/>
      <c r="X24" s="168" t="s">
        <v>12</v>
      </c>
      <c r="Y24" s="168"/>
      <c r="Z24" s="168"/>
      <c r="AA24" s="168"/>
      <c r="AB24" s="3"/>
      <c r="AC24" s="168" t="s">
        <v>13</v>
      </c>
      <c r="AD24" s="168"/>
      <c r="AE24" s="168"/>
      <c r="AF24" s="168"/>
      <c r="AG24" s="1"/>
      <c r="AH24" s="1"/>
      <c r="AI24" s="165" t="s">
        <v>14</v>
      </c>
      <c r="AJ24" s="165"/>
      <c r="AK24" s="165"/>
      <c r="AL24" s="165"/>
      <c r="AM24" s="3"/>
      <c r="AN24" s="165" t="s">
        <v>15</v>
      </c>
      <c r="AO24" s="165"/>
      <c r="AP24" s="165"/>
      <c r="AQ24" s="165"/>
      <c r="AR24" s="3"/>
      <c r="AS24" s="165" t="s">
        <v>16</v>
      </c>
      <c r="AT24" s="165"/>
      <c r="AU24" s="165"/>
      <c r="AV24" s="165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</row>
    <row r="25" spans="2:74" x14ac:dyDescent="0.25">
      <c r="B25" s="1"/>
      <c r="C25" s="40" t="s">
        <v>19</v>
      </c>
      <c r="D25" s="157" t="s">
        <v>20</v>
      </c>
      <c r="E25" s="157"/>
      <c r="F25" s="157"/>
      <c r="G25" s="5"/>
      <c r="H25" s="40" t="s">
        <v>19</v>
      </c>
      <c r="I25" s="157" t="s">
        <v>20</v>
      </c>
      <c r="J25" s="157"/>
      <c r="K25" s="157"/>
      <c r="L25" s="5"/>
      <c r="M25" s="40" t="s">
        <v>19</v>
      </c>
      <c r="N25" s="157" t="s">
        <v>20</v>
      </c>
      <c r="O25" s="157"/>
      <c r="P25" s="157"/>
      <c r="Q25" s="3"/>
      <c r="R25" s="1"/>
      <c r="S25" s="40" t="s">
        <v>19</v>
      </c>
      <c r="T25" s="157" t="s">
        <v>20</v>
      </c>
      <c r="U25" s="157"/>
      <c r="V25" s="157"/>
      <c r="W25" s="5"/>
      <c r="X25" s="40" t="s">
        <v>19</v>
      </c>
      <c r="Y25" s="157" t="s">
        <v>20</v>
      </c>
      <c r="Z25" s="157"/>
      <c r="AA25" s="157"/>
      <c r="AB25" s="5"/>
      <c r="AC25" s="40" t="s">
        <v>19</v>
      </c>
      <c r="AD25" s="157" t="s">
        <v>20</v>
      </c>
      <c r="AE25" s="157"/>
      <c r="AF25" s="157"/>
      <c r="AG25" s="1"/>
      <c r="AH25" s="1"/>
      <c r="AI25" s="40" t="s">
        <v>19</v>
      </c>
      <c r="AJ25" s="157" t="s">
        <v>20</v>
      </c>
      <c r="AK25" s="157"/>
      <c r="AL25" s="157"/>
      <c r="AM25" s="5"/>
      <c r="AN25" s="40" t="s">
        <v>19</v>
      </c>
      <c r="AO25" s="157" t="s">
        <v>20</v>
      </c>
      <c r="AP25" s="157"/>
      <c r="AQ25" s="157"/>
      <c r="AR25" s="5"/>
      <c r="AS25" s="40" t="s">
        <v>19</v>
      </c>
      <c r="AT25" s="157" t="s">
        <v>20</v>
      </c>
      <c r="AU25" s="157"/>
      <c r="AV25" s="157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</row>
    <row r="26" spans="2:74" x14ac:dyDescent="0.25">
      <c r="B26" s="1"/>
      <c r="C26" s="6">
        <v>9</v>
      </c>
      <c r="D26" s="5">
        <v>30</v>
      </c>
      <c r="E26" s="5">
        <v>30</v>
      </c>
      <c r="F26" s="5">
        <v>31</v>
      </c>
      <c r="G26" s="5"/>
      <c r="H26" s="6">
        <v>10</v>
      </c>
      <c r="I26" s="5">
        <v>31</v>
      </c>
      <c r="J26" s="5">
        <v>29</v>
      </c>
      <c r="K26" s="5">
        <v>34</v>
      </c>
      <c r="L26" s="5"/>
      <c r="M26" s="6">
        <v>11</v>
      </c>
      <c r="N26" s="5">
        <v>36</v>
      </c>
      <c r="O26" s="5">
        <v>21</v>
      </c>
      <c r="P26" s="5">
        <v>16</v>
      </c>
      <c r="Q26" s="3"/>
      <c r="R26" s="1"/>
      <c r="S26" s="6">
        <v>12</v>
      </c>
      <c r="T26" s="5">
        <v>9</v>
      </c>
      <c r="U26" s="5">
        <v>13</v>
      </c>
      <c r="V26" s="5">
        <v>11</v>
      </c>
      <c r="W26" s="5"/>
      <c r="X26" s="6">
        <v>11</v>
      </c>
      <c r="Y26" s="5">
        <v>16</v>
      </c>
      <c r="Z26" s="5">
        <v>28</v>
      </c>
      <c r="AA26" s="5">
        <v>17</v>
      </c>
      <c r="AB26" s="5"/>
      <c r="AC26" s="6">
        <v>3</v>
      </c>
      <c r="AD26" s="5">
        <v>21</v>
      </c>
      <c r="AE26" s="5">
        <v>9</v>
      </c>
      <c r="AF26" s="5">
        <v>14</v>
      </c>
      <c r="AG26" s="1"/>
      <c r="AH26" s="1"/>
      <c r="AI26" s="6">
        <v>12</v>
      </c>
      <c r="AJ26" s="5">
        <v>27</v>
      </c>
      <c r="AK26" s="5">
        <v>16</v>
      </c>
      <c r="AL26" s="5">
        <v>17</v>
      </c>
      <c r="AM26" s="5"/>
      <c r="AN26" s="6">
        <v>14</v>
      </c>
      <c r="AO26" s="5">
        <v>35</v>
      </c>
      <c r="AP26" s="5">
        <v>29</v>
      </c>
      <c r="AQ26" s="5">
        <v>21</v>
      </c>
      <c r="AR26" s="5"/>
      <c r="AS26" s="6">
        <v>8</v>
      </c>
      <c r="AT26" s="5">
        <v>25</v>
      </c>
      <c r="AU26" s="5">
        <v>18</v>
      </c>
      <c r="AV26" s="5">
        <v>24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</row>
    <row r="27" spans="2:74" x14ac:dyDescent="0.25">
      <c r="B27" s="1"/>
      <c r="C27" s="6">
        <v>10</v>
      </c>
      <c r="D27" s="5">
        <v>18</v>
      </c>
      <c r="E27" s="5">
        <v>22</v>
      </c>
      <c r="F27" s="5">
        <v>31</v>
      </c>
      <c r="G27" s="5"/>
      <c r="H27" s="6">
        <v>7</v>
      </c>
      <c r="I27" s="5">
        <v>20</v>
      </c>
      <c r="J27" s="5">
        <v>21</v>
      </c>
      <c r="K27" s="5">
        <v>24</v>
      </c>
      <c r="L27" s="5"/>
      <c r="M27" s="6">
        <v>5</v>
      </c>
      <c r="N27" s="5">
        <v>31</v>
      </c>
      <c r="O27" s="5">
        <v>17</v>
      </c>
      <c r="P27" s="5">
        <v>19</v>
      </c>
      <c r="Q27" s="3"/>
      <c r="R27" s="1"/>
      <c r="S27" s="6">
        <v>13</v>
      </c>
      <c r="T27" s="5">
        <v>12</v>
      </c>
      <c r="U27" s="5">
        <v>16</v>
      </c>
      <c r="V27" s="5">
        <v>10</v>
      </c>
      <c r="W27" s="5"/>
      <c r="X27" s="6">
        <v>15</v>
      </c>
      <c r="Y27" s="5">
        <v>23</v>
      </c>
      <c r="Z27" s="5">
        <v>26</v>
      </c>
      <c r="AA27" s="5">
        <v>23</v>
      </c>
      <c r="AB27" s="5"/>
      <c r="AC27" s="6">
        <v>5</v>
      </c>
      <c r="AD27" s="5">
        <v>6</v>
      </c>
      <c r="AE27" s="5">
        <v>8</v>
      </c>
      <c r="AF27" s="5">
        <v>8</v>
      </c>
      <c r="AG27" s="1"/>
      <c r="AH27" s="1"/>
      <c r="AI27" s="6">
        <v>17</v>
      </c>
      <c r="AJ27" s="5">
        <v>16</v>
      </c>
      <c r="AK27" s="5">
        <v>9</v>
      </c>
      <c r="AL27" s="5">
        <v>18</v>
      </c>
      <c r="AM27" s="5"/>
      <c r="AN27" s="6">
        <v>17</v>
      </c>
      <c r="AO27" s="5">
        <v>24</v>
      </c>
      <c r="AP27" s="5">
        <v>24</v>
      </c>
      <c r="AQ27" s="5">
        <v>19</v>
      </c>
      <c r="AR27" s="5"/>
      <c r="AS27" s="6">
        <v>9</v>
      </c>
      <c r="AT27" s="5">
        <v>17</v>
      </c>
      <c r="AU27" s="5">
        <v>25</v>
      </c>
      <c r="AV27" s="5">
        <v>18</v>
      </c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</row>
    <row r="28" spans="2:74" x14ac:dyDescent="0.25">
      <c r="B28" s="1"/>
      <c r="C28" s="6">
        <v>6</v>
      </c>
      <c r="D28" s="5">
        <v>21</v>
      </c>
      <c r="E28" s="5">
        <v>20</v>
      </c>
      <c r="F28" s="5">
        <v>30</v>
      </c>
      <c r="G28" s="5"/>
      <c r="H28" s="6">
        <v>6</v>
      </c>
      <c r="I28" s="5">
        <v>20</v>
      </c>
      <c r="J28" s="5">
        <v>21</v>
      </c>
      <c r="K28" s="5">
        <v>16</v>
      </c>
      <c r="L28" s="5"/>
      <c r="M28" s="6">
        <v>6</v>
      </c>
      <c r="N28" s="5">
        <v>26</v>
      </c>
      <c r="O28" s="5">
        <v>21</v>
      </c>
      <c r="P28" s="5">
        <v>20</v>
      </c>
      <c r="Q28" s="3"/>
      <c r="R28" s="1"/>
      <c r="S28" s="6">
        <v>14</v>
      </c>
      <c r="T28" s="5">
        <v>13</v>
      </c>
      <c r="U28" s="5">
        <v>22</v>
      </c>
      <c r="V28" s="5">
        <v>29</v>
      </c>
      <c r="W28" s="5"/>
      <c r="X28" s="6">
        <v>7</v>
      </c>
      <c r="Y28" s="5">
        <v>17</v>
      </c>
      <c r="Z28" s="5">
        <v>18</v>
      </c>
      <c r="AA28" s="5">
        <v>16</v>
      </c>
      <c r="AB28" s="5"/>
      <c r="AC28" s="6">
        <v>9</v>
      </c>
      <c r="AD28" s="5">
        <v>16</v>
      </c>
      <c r="AE28" s="5">
        <v>25</v>
      </c>
      <c r="AF28" s="5">
        <v>16</v>
      </c>
      <c r="AG28" s="1"/>
      <c r="AH28" s="1"/>
      <c r="AI28" s="6">
        <v>10</v>
      </c>
      <c r="AJ28" s="5">
        <v>16</v>
      </c>
      <c r="AK28" s="5">
        <v>18</v>
      </c>
      <c r="AL28" s="5">
        <v>22</v>
      </c>
      <c r="AM28" s="5"/>
      <c r="AN28" s="6">
        <v>8</v>
      </c>
      <c r="AO28" s="5">
        <v>27</v>
      </c>
      <c r="AP28" s="5">
        <v>19</v>
      </c>
      <c r="AQ28" s="5">
        <v>16</v>
      </c>
      <c r="AR28" s="5"/>
      <c r="AS28" s="6">
        <v>7</v>
      </c>
      <c r="AT28" s="5">
        <v>15</v>
      </c>
      <c r="AU28" s="5">
        <v>18</v>
      </c>
      <c r="AV28" s="5">
        <v>19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</row>
    <row r="29" spans="2:74" x14ac:dyDescent="0.25">
      <c r="B29" s="1"/>
      <c r="C29" s="6">
        <v>5</v>
      </c>
      <c r="D29" s="5">
        <v>20</v>
      </c>
      <c r="E29" s="5">
        <v>14</v>
      </c>
      <c r="F29" s="5">
        <v>15</v>
      </c>
      <c r="G29" s="5"/>
      <c r="H29" s="6">
        <v>6</v>
      </c>
      <c r="I29" s="5">
        <v>20</v>
      </c>
      <c r="J29" s="5">
        <v>14</v>
      </c>
      <c r="K29" s="5">
        <v>16</v>
      </c>
      <c r="L29" s="5"/>
      <c r="M29" s="6">
        <v>11</v>
      </c>
      <c r="N29" s="5">
        <v>31</v>
      </c>
      <c r="O29" s="5">
        <v>26</v>
      </c>
      <c r="P29" s="5">
        <v>24</v>
      </c>
      <c r="Q29" s="3"/>
      <c r="R29" s="1"/>
      <c r="S29" s="6">
        <v>9</v>
      </c>
      <c r="T29" s="5">
        <v>20</v>
      </c>
      <c r="U29" s="5">
        <v>25</v>
      </c>
      <c r="V29" s="5">
        <v>27</v>
      </c>
      <c r="W29" s="5"/>
      <c r="X29" s="6">
        <v>8</v>
      </c>
      <c r="Y29" s="5">
        <v>16</v>
      </c>
      <c r="Z29" s="5">
        <v>24</v>
      </c>
      <c r="AA29" s="5">
        <v>21</v>
      </c>
      <c r="AB29" s="5"/>
      <c r="AC29" s="6">
        <v>12</v>
      </c>
      <c r="AD29" s="5">
        <v>19</v>
      </c>
      <c r="AE29" s="5">
        <v>16</v>
      </c>
      <c r="AF29" s="5">
        <v>18</v>
      </c>
      <c r="AG29" s="1"/>
      <c r="AH29" s="1"/>
      <c r="AI29" s="6">
        <v>15</v>
      </c>
      <c r="AJ29" s="5">
        <v>23</v>
      </c>
      <c r="AK29" s="5">
        <v>34</v>
      </c>
      <c r="AL29" s="5">
        <v>19</v>
      </c>
      <c r="AM29" s="5"/>
      <c r="AN29" s="6">
        <v>7</v>
      </c>
      <c r="AO29" s="5">
        <v>26</v>
      </c>
      <c r="AP29" s="5">
        <v>20</v>
      </c>
      <c r="AQ29" s="5">
        <v>23</v>
      </c>
      <c r="AR29" s="5"/>
      <c r="AS29" s="6">
        <v>12</v>
      </c>
      <c r="AT29" s="5">
        <v>25</v>
      </c>
      <c r="AU29" s="5">
        <v>24</v>
      </c>
      <c r="AV29" s="5">
        <v>25</v>
      </c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</row>
    <row r="30" spans="2:74" x14ac:dyDescent="0.25">
      <c r="B30" s="1"/>
      <c r="C30" s="6">
        <v>7</v>
      </c>
      <c r="D30" s="5">
        <v>41</v>
      </c>
      <c r="E30" s="5">
        <v>30</v>
      </c>
      <c r="F30" s="5">
        <v>31</v>
      </c>
      <c r="G30" s="5"/>
      <c r="H30" s="6">
        <v>5</v>
      </c>
      <c r="I30" s="5">
        <v>16</v>
      </c>
      <c r="J30" s="5">
        <v>13</v>
      </c>
      <c r="K30" s="5">
        <v>11</v>
      </c>
      <c r="L30" s="5"/>
      <c r="M30" s="6">
        <v>9</v>
      </c>
      <c r="N30" s="5">
        <v>23</v>
      </c>
      <c r="O30" s="5">
        <v>33</v>
      </c>
      <c r="P30" s="5">
        <v>25</v>
      </c>
      <c r="Q30" s="3"/>
      <c r="R30" s="1"/>
      <c r="S30" s="6">
        <v>9</v>
      </c>
      <c r="T30" s="5">
        <v>19</v>
      </c>
      <c r="U30" s="5">
        <v>5</v>
      </c>
      <c r="V30" s="5">
        <v>17</v>
      </c>
      <c r="W30" s="5"/>
      <c r="X30" s="6">
        <v>9</v>
      </c>
      <c r="Y30" s="5">
        <v>14</v>
      </c>
      <c r="Z30" s="5">
        <v>12</v>
      </c>
      <c r="AA30" s="5">
        <v>30</v>
      </c>
      <c r="AB30" s="5"/>
      <c r="AC30" s="6">
        <v>0</v>
      </c>
      <c r="AD30" s="5">
        <v>0</v>
      </c>
      <c r="AE30" s="5">
        <v>0</v>
      </c>
      <c r="AF30" s="5">
        <v>0</v>
      </c>
      <c r="AG30" s="1"/>
      <c r="AH30" s="1"/>
      <c r="AI30" s="6">
        <v>8</v>
      </c>
      <c r="AJ30" s="5">
        <v>23</v>
      </c>
      <c r="AK30" s="5">
        <v>12</v>
      </c>
      <c r="AL30" s="5">
        <v>20</v>
      </c>
      <c r="AM30" s="5"/>
      <c r="AN30" s="6">
        <v>7</v>
      </c>
      <c r="AO30" s="5">
        <v>26</v>
      </c>
      <c r="AP30" s="5">
        <v>8</v>
      </c>
      <c r="AQ30" s="5">
        <v>21</v>
      </c>
      <c r="AR30" s="5"/>
      <c r="AS30" s="6">
        <v>7</v>
      </c>
      <c r="AT30" s="5">
        <v>18</v>
      </c>
      <c r="AU30" s="5">
        <v>22</v>
      </c>
      <c r="AV30" s="5">
        <v>20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</row>
    <row r="31" spans="2:74" x14ac:dyDescent="0.25">
      <c r="B31" s="1"/>
      <c r="C31" s="6">
        <v>6</v>
      </c>
      <c r="D31" s="5">
        <v>22</v>
      </c>
      <c r="E31" s="5">
        <v>15</v>
      </c>
      <c r="F31" s="5">
        <v>13</v>
      </c>
      <c r="G31" s="5"/>
      <c r="H31" s="6">
        <v>6</v>
      </c>
      <c r="I31" s="5">
        <v>21</v>
      </c>
      <c r="J31" s="5">
        <v>19</v>
      </c>
      <c r="K31" s="5">
        <v>18</v>
      </c>
      <c r="L31" s="5"/>
      <c r="M31" s="6">
        <v>10</v>
      </c>
      <c r="N31" s="5">
        <v>26</v>
      </c>
      <c r="O31" s="5">
        <v>27</v>
      </c>
      <c r="P31" s="5">
        <v>28</v>
      </c>
      <c r="Q31" s="3"/>
      <c r="R31" s="1"/>
      <c r="S31" s="6">
        <v>6</v>
      </c>
      <c r="T31" s="5">
        <v>15</v>
      </c>
      <c r="U31" s="5">
        <v>24</v>
      </c>
      <c r="V31" s="5">
        <v>13</v>
      </c>
      <c r="W31" s="5"/>
      <c r="X31" s="6">
        <v>10</v>
      </c>
      <c r="Y31" s="5">
        <v>21</v>
      </c>
      <c r="Z31" s="5">
        <v>29</v>
      </c>
      <c r="AA31" s="5">
        <v>27</v>
      </c>
      <c r="AB31" s="5"/>
      <c r="AC31" s="6">
        <v>5</v>
      </c>
      <c r="AD31" s="5">
        <v>11</v>
      </c>
      <c r="AE31" s="5">
        <v>20</v>
      </c>
      <c r="AF31" s="5">
        <v>10</v>
      </c>
      <c r="AG31" s="1"/>
      <c r="AH31" s="1"/>
      <c r="AI31" s="6">
        <v>13</v>
      </c>
      <c r="AJ31" s="5">
        <v>12</v>
      </c>
      <c r="AK31" s="5">
        <v>9</v>
      </c>
      <c r="AL31" s="5">
        <v>8</v>
      </c>
      <c r="AM31" s="5"/>
      <c r="AN31" s="6">
        <v>10</v>
      </c>
      <c r="AO31" s="5">
        <v>23</v>
      </c>
      <c r="AP31" s="5">
        <v>36</v>
      </c>
      <c r="AQ31" s="5">
        <v>31</v>
      </c>
      <c r="AR31" s="5"/>
      <c r="AS31" s="6">
        <v>5</v>
      </c>
      <c r="AT31" s="5">
        <v>23</v>
      </c>
      <c r="AU31" s="5">
        <v>12</v>
      </c>
      <c r="AV31" s="5">
        <v>27</v>
      </c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</row>
    <row r="32" spans="2:74" x14ac:dyDescent="0.25">
      <c r="B32" s="1"/>
      <c r="C32" s="6">
        <v>5</v>
      </c>
      <c r="D32" s="5">
        <v>6</v>
      </c>
      <c r="E32" s="5">
        <v>10</v>
      </c>
      <c r="F32" s="5">
        <v>27</v>
      </c>
      <c r="G32" s="5"/>
      <c r="H32" s="6">
        <v>5</v>
      </c>
      <c r="I32" s="5">
        <v>21</v>
      </c>
      <c r="J32" s="5">
        <v>16</v>
      </c>
      <c r="K32" s="5">
        <v>13</v>
      </c>
      <c r="L32" s="5"/>
      <c r="M32" s="6">
        <v>10</v>
      </c>
      <c r="N32" s="5">
        <v>31</v>
      </c>
      <c r="O32" s="5">
        <v>26</v>
      </c>
      <c r="P32" s="5">
        <v>27</v>
      </c>
      <c r="Q32" s="3"/>
      <c r="R32" s="1"/>
      <c r="S32" s="6">
        <v>19</v>
      </c>
      <c r="T32" s="5">
        <v>25</v>
      </c>
      <c r="U32" s="5">
        <v>23</v>
      </c>
      <c r="V32" s="5">
        <v>24</v>
      </c>
      <c r="W32" s="5"/>
      <c r="X32" s="6">
        <v>9</v>
      </c>
      <c r="Y32" s="5">
        <v>18</v>
      </c>
      <c r="Z32" s="5">
        <v>25</v>
      </c>
      <c r="AA32" s="5">
        <v>21</v>
      </c>
      <c r="AB32" s="5"/>
      <c r="AC32" s="6">
        <v>5</v>
      </c>
      <c r="AD32" s="5">
        <v>5</v>
      </c>
      <c r="AE32" s="5">
        <v>6</v>
      </c>
      <c r="AF32" s="5">
        <v>11</v>
      </c>
      <c r="AG32" s="1"/>
      <c r="AH32" s="1"/>
      <c r="AI32" s="6">
        <v>10</v>
      </c>
      <c r="AJ32" s="5">
        <v>15</v>
      </c>
      <c r="AK32" s="5">
        <v>19</v>
      </c>
      <c r="AL32" s="5">
        <v>19</v>
      </c>
      <c r="AM32" s="5"/>
      <c r="AN32" s="6">
        <v>10</v>
      </c>
      <c r="AO32" s="5">
        <v>29</v>
      </c>
      <c r="AP32" s="5">
        <v>28</v>
      </c>
      <c r="AQ32" s="5">
        <v>22</v>
      </c>
      <c r="AR32" s="5"/>
      <c r="AS32" s="6">
        <v>8</v>
      </c>
      <c r="AT32" s="5">
        <v>20</v>
      </c>
      <c r="AU32" s="5">
        <v>18</v>
      </c>
      <c r="AV32" s="5">
        <v>24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</row>
    <row r="33" spans="2:74" x14ac:dyDescent="0.25">
      <c r="B33" s="1"/>
      <c r="C33" s="6">
        <v>9</v>
      </c>
      <c r="D33" s="5">
        <v>31</v>
      </c>
      <c r="E33" s="5">
        <v>26</v>
      </c>
      <c r="F33" s="5">
        <v>0</v>
      </c>
      <c r="G33" s="5"/>
      <c r="H33" s="6">
        <v>7</v>
      </c>
      <c r="I33" s="5">
        <v>23</v>
      </c>
      <c r="J33" s="5">
        <v>16</v>
      </c>
      <c r="K33" s="5">
        <v>11</v>
      </c>
      <c r="L33" s="5"/>
      <c r="M33" s="6">
        <v>9</v>
      </c>
      <c r="N33" s="5">
        <v>32</v>
      </c>
      <c r="O33" s="5">
        <v>27</v>
      </c>
      <c r="P33" s="5">
        <v>24</v>
      </c>
      <c r="Q33" s="3"/>
      <c r="R33" s="1"/>
      <c r="S33" s="6">
        <v>7</v>
      </c>
      <c r="T33" s="5">
        <v>17</v>
      </c>
      <c r="U33" s="5">
        <v>20</v>
      </c>
      <c r="V33" s="5">
        <v>19</v>
      </c>
      <c r="W33" s="5"/>
      <c r="X33" s="6">
        <v>6</v>
      </c>
      <c r="Y33" s="5">
        <v>12</v>
      </c>
      <c r="Z33" s="5">
        <v>13</v>
      </c>
      <c r="AA33" s="5">
        <v>20</v>
      </c>
      <c r="AB33" s="5"/>
      <c r="AC33" s="6">
        <v>11</v>
      </c>
      <c r="AD33" s="5">
        <v>16</v>
      </c>
      <c r="AE33" s="5">
        <v>16</v>
      </c>
      <c r="AF33" s="5">
        <v>13</v>
      </c>
      <c r="AG33" s="1"/>
      <c r="AH33" s="1"/>
      <c r="AI33" s="6">
        <v>15</v>
      </c>
      <c r="AJ33" s="5">
        <v>22</v>
      </c>
      <c r="AK33" s="5">
        <v>25</v>
      </c>
      <c r="AL33" s="5">
        <v>27</v>
      </c>
      <c r="AM33" s="5"/>
      <c r="AN33" s="6">
        <v>5</v>
      </c>
      <c r="AO33" s="5">
        <v>21</v>
      </c>
      <c r="AP33" s="5">
        <v>28</v>
      </c>
      <c r="AQ33" s="5">
        <v>20</v>
      </c>
      <c r="AR33" s="5"/>
      <c r="AS33" s="6">
        <v>7</v>
      </c>
      <c r="AT33" s="5">
        <v>25</v>
      </c>
      <c r="AU33" s="5">
        <v>11</v>
      </c>
      <c r="AV33" s="5">
        <v>7</v>
      </c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spans="2:74" x14ac:dyDescent="0.25">
      <c r="B34" s="1"/>
      <c r="C34" s="6">
        <v>5</v>
      </c>
      <c r="D34" s="5">
        <v>10</v>
      </c>
      <c r="E34" s="5">
        <v>14</v>
      </c>
      <c r="F34" s="5">
        <v>20</v>
      </c>
      <c r="G34" s="5"/>
      <c r="H34" s="6">
        <v>7</v>
      </c>
      <c r="I34" s="5">
        <v>24</v>
      </c>
      <c r="J34" s="5">
        <v>17</v>
      </c>
      <c r="K34" s="5">
        <v>19</v>
      </c>
      <c r="L34" s="5"/>
      <c r="M34" s="6">
        <v>5</v>
      </c>
      <c r="N34" s="5">
        <v>20</v>
      </c>
      <c r="O34" s="5">
        <v>13</v>
      </c>
      <c r="P34" s="5">
        <v>15</v>
      </c>
      <c r="Q34" s="3"/>
      <c r="R34" s="1"/>
      <c r="S34" s="6">
        <v>5</v>
      </c>
      <c r="T34" s="5">
        <v>17</v>
      </c>
      <c r="U34" s="5">
        <v>11</v>
      </c>
      <c r="V34" s="5">
        <v>19</v>
      </c>
      <c r="W34" s="5"/>
      <c r="X34" s="6">
        <v>8</v>
      </c>
      <c r="Y34" s="5">
        <v>22</v>
      </c>
      <c r="Z34" s="5">
        <v>24</v>
      </c>
      <c r="AA34" s="5">
        <v>27</v>
      </c>
      <c r="AB34" s="5"/>
      <c r="AC34" s="6">
        <v>5</v>
      </c>
      <c r="AD34" s="5">
        <v>6</v>
      </c>
      <c r="AE34" s="5">
        <v>6</v>
      </c>
      <c r="AF34" s="5">
        <v>0</v>
      </c>
      <c r="AG34" s="3"/>
      <c r="AH34" s="1"/>
      <c r="AI34" s="6">
        <v>15</v>
      </c>
      <c r="AJ34" s="5">
        <v>20</v>
      </c>
      <c r="AK34" s="5">
        <v>15</v>
      </c>
      <c r="AL34" s="5">
        <v>24</v>
      </c>
      <c r="AM34" s="5"/>
      <c r="AN34" s="6">
        <v>6</v>
      </c>
      <c r="AO34" s="5">
        <v>12</v>
      </c>
      <c r="AP34" s="5">
        <v>15</v>
      </c>
      <c r="AQ34" s="5">
        <v>0</v>
      </c>
      <c r="AR34" s="5"/>
      <c r="AS34" s="6">
        <v>14</v>
      </c>
      <c r="AT34" s="5">
        <v>17</v>
      </c>
      <c r="AU34" s="5">
        <v>15</v>
      </c>
      <c r="AV34" s="5">
        <v>15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</row>
    <row r="35" spans="2:74" x14ac:dyDescent="0.25">
      <c r="B35" s="1"/>
      <c r="C35" s="6">
        <v>5</v>
      </c>
      <c r="D35" s="5">
        <v>31</v>
      </c>
      <c r="E35" s="5">
        <v>21</v>
      </c>
      <c r="F35" s="5">
        <v>17</v>
      </c>
      <c r="G35" s="5"/>
      <c r="H35" s="6">
        <v>11</v>
      </c>
      <c r="I35" s="5">
        <v>34</v>
      </c>
      <c r="J35" s="5">
        <v>21</v>
      </c>
      <c r="K35" s="5">
        <v>24</v>
      </c>
      <c r="L35" s="5"/>
      <c r="M35" s="6">
        <v>3</v>
      </c>
      <c r="N35" s="5">
        <v>17</v>
      </c>
      <c r="O35" s="5">
        <v>15</v>
      </c>
      <c r="P35" s="5">
        <v>9</v>
      </c>
      <c r="Q35" s="3"/>
      <c r="R35" s="1"/>
      <c r="S35" s="6">
        <v>12</v>
      </c>
      <c r="T35" s="5">
        <v>22</v>
      </c>
      <c r="U35" s="5">
        <v>9</v>
      </c>
      <c r="V35" s="5">
        <v>24</v>
      </c>
      <c r="W35" s="5"/>
      <c r="X35" s="6">
        <v>12</v>
      </c>
      <c r="Y35" s="5">
        <v>25</v>
      </c>
      <c r="Z35" s="5">
        <v>29</v>
      </c>
      <c r="AA35" s="5">
        <v>21</v>
      </c>
      <c r="AB35" s="5"/>
      <c r="AC35" s="6">
        <v>6</v>
      </c>
      <c r="AD35" s="5">
        <v>13</v>
      </c>
      <c r="AE35" s="5">
        <v>15</v>
      </c>
      <c r="AF35" s="5">
        <v>18</v>
      </c>
      <c r="AG35" s="3"/>
      <c r="AH35" s="1"/>
      <c r="AI35" s="6">
        <v>12</v>
      </c>
      <c r="AJ35" s="5">
        <v>23</v>
      </c>
      <c r="AK35" s="5">
        <v>20</v>
      </c>
      <c r="AL35" s="5">
        <v>19</v>
      </c>
      <c r="AM35" s="5"/>
      <c r="AN35" s="6">
        <v>8</v>
      </c>
      <c r="AO35" s="5">
        <v>22</v>
      </c>
      <c r="AP35" s="5">
        <v>19</v>
      </c>
      <c r="AQ35" s="5">
        <v>22</v>
      </c>
      <c r="AR35" s="5"/>
      <c r="AS35" s="6">
        <v>1</v>
      </c>
      <c r="AT35" s="5">
        <v>0</v>
      </c>
      <c r="AU35" s="5">
        <v>0</v>
      </c>
      <c r="AV35" s="5">
        <v>0</v>
      </c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</row>
    <row r="36" spans="2:74" x14ac:dyDescent="0.25">
      <c r="B36" s="1"/>
      <c r="C36" s="6">
        <v>5</v>
      </c>
      <c r="D36" s="5">
        <v>42</v>
      </c>
      <c r="E36" s="5">
        <v>21</v>
      </c>
      <c r="F36" s="5">
        <v>26</v>
      </c>
      <c r="G36" s="5"/>
      <c r="H36" s="6">
        <v>5</v>
      </c>
      <c r="I36" s="5">
        <v>33</v>
      </c>
      <c r="J36" s="5">
        <v>24</v>
      </c>
      <c r="K36" s="5">
        <v>21</v>
      </c>
      <c r="L36" s="5"/>
      <c r="M36" s="6">
        <v>5</v>
      </c>
      <c r="N36" s="5">
        <v>15</v>
      </c>
      <c r="O36" s="5">
        <v>13</v>
      </c>
      <c r="P36" s="5">
        <v>11</v>
      </c>
      <c r="Q36" s="3"/>
      <c r="R36" s="1"/>
      <c r="S36" s="6">
        <v>7</v>
      </c>
      <c r="T36" s="5">
        <v>11</v>
      </c>
      <c r="U36" s="5">
        <v>10</v>
      </c>
      <c r="V36" s="5">
        <v>11</v>
      </c>
      <c r="W36" s="5"/>
      <c r="X36" s="6">
        <v>5</v>
      </c>
      <c r="Y36" s="5">
        <v>8</v>
      </c>
      <c r="Z36" s="5">
        <v>10</v>
      </c>
      <c r="AA36" s="5">
        <v>11</v>
      </c>
      <c r="AB36" s="5"/>
      <c r="AC36" s="6">
        <v>6</v>
      </c>
      <c r="AD36" s="5">
        <v>18</v>
      </c>
      <c r="AE36" s="5">
        <v>25</v>
      </c>
      <c r="AF36" s="5">
        <v>20</v>
      </c>
      <c r="AG36" s="3"/>
      <c r="AH36" s="1"/>
      <c r="AI36" s="6">
        <v>10</v>
      </c>
      <c r="AJ36" s="5">
        <v>19</v>
      </c>
      <c r="AK36" s="5">
        <v>17</v>
      </c>
      <c r="AL36" s="5">
        <v>15</v>
      </c>
      <c r="AM36" s="5"/>
      <c r="AN36" s="6">
        <v>8</v>
      </c>
      <c r="AO36" s="5">
        <v>21</v>
      </c>
      <c r="AP36" s="5">
        <v>25</v>
      </c>
      <c r="AQ36" s="5">
        <v>21</v>
      </c>
      <c r="AR36" s="5"/>
      <c r="AS36" s="6">
        <v>1</v>
      </c>
      <c r="AT36" s="5">
        <v>0</v>
      </c>
      <c r="AU36" s="5">
        <v>0</v>
      </c>
      <c r="AV36" s="5">
        <v>0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</row>
    <row r="37" spans="2:74" x14ac:dyDescent="0.25">
      <c r="B37" s="1"/>
      <c r="C37" s="6">
        <v>6</v>
      </c>
      <c r="D37" s="5">
        <v>20</v>
      </c>
      <c r="E37" s="5">
        <v>30</v>
      </c>
      <c r="F37" s="5">
        <v>22</v>
      </c>
      <c r="G37" s="5"/>
      <c r="H37" s="6">
        <v>6</v>
      </c>
      <c r="I37" s="5">
        <v>20</v>
      </c>
      <c r="J37" s="5">
        <v>21</v>
      </c>
      <c r="K37" s="5">
        <v>24</v>
      </c>
      <c r="L37" s="5"/>
      <c r="M37" s="6">
        <v>6</v>
      </c>
      <c r="N37" s="5">
        <v>26</v>
      </c>
      <c r="O37" s="5">
        <v>22</v>
      </c>
      <c r="P37" s="5">
        <v>20</v>
      </c>
      <c r="Q37" s="3"/>
      <c r="R37" s="1"/>
      <c r="S37" s="6">
        <v>11</v>
      </c>
      <c r="T37" s="5">
        <v>21</v>
      </c>
      <c r="U37" s="5">
        <v>22</v>
      </c>
      <c r="V37" s="5">
        <v>19</v>
      </c>
      <c r="W37" s="5"/>
      <c r="X37" s="6">
        <v>6</v>
      </c>
      <c r="Y37" s="5">
        <v>19</v>
      </c>
      <c r="Z37" s="5">
        <v>20</v>
      </c>
      <c r="AA37" s="5">
        <v>18</v>
      </c>
      <c r="AB37" s="5"/>
      <c r="AC37" s="6">
        <v>5</v>
      </c>
      <c r="AD37" s="5">
        <v>11</v>
      </c>
      <c r="AE37" s="5">
        <v>14</v>
      </c>
      <c r="AF37" s="5">
        <v>19</v>
      </c>
      <c r="AG37" s="3"/>
      <c r="AH37" s="1"/>
      <c r="AI37" s="6">
        <v>7</v>
      </c>
      <c r="AJ37" s="5">
        <v>9</v>
      </c>
      <c r="AK37" s="5">
        <v>8</v>
      </c>
      <c r="AL37" s="5">
        <v>8</v>
      </c>
      <c r="AM37" s="5"/>
      <c r="AN37" s="6">
        <v>8</v>
      </c>
      <c r="AO37" s="5">
        <v>17</v>
      </c>
      <c r="AP37" s="5">
        <v>19</v>
      </c>
      <c r="AQ37" s="5">
        <v>13</v>
      </c>
      <c r="AR37" s="5"/>
      <c r="AS37" s="6">
        <v>11</v>
      </c>
      <c r="AT37" s="5">
        <v>25</v>
      </c>
      <c r="AU37" s="5">
        <v>24</v>
      </c>
      <c r="AV37" s="5">
        <v>27</v>
      </c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</row>
    <row r="38" spans="2:74" x14ac:dyDescent="0.25">
      <c r="B38" s="1"/>
      <c r="C38" s="6">
        <v>10</v>
      </c>
      <c r="D38" s="5">
        <v>21</v>
      </c>
      <c r="E38" s="5">
        <v>26</v>
      </c>
      <c r="F38" s="5">
        <v>22</v>
      </c>
      <c r="G38" s="5"/>
      <c r="H38" s="6">
        <v>8</v>
      </c>
      <c r="I38" s="5">
        <v>38</v>
      </c>
      <c r="J38" s="5">
        <v>26</v>
      </c>
      <c r="K38" s="5">
        <v>27</v>
      </c>
      <c r="L38" s="5"/>
      <c r="M38" s="6">
        <v>5</v>
      </c>
      <c r="N38" s="5">
        <v>7</v>
      </c>
      <c r="O38" s="5">
        <v>5</v>
      </c>
      <c r="P38" s="5">
        <v>0</v>
      </c>
      <c r="Q38" s="3"/>
      <c r="R38" s="1"/>
      <c r="S38" s="6">
        <v>9</v>
      </c>
      <c r="T38" s="5">
        <v>22</v>
      </c>
      <c r="U38" s="5">
        <v>24</v>
      </c>
      <c r="V38" s="5">
        <v>25</v>
      </c>
      <c r="W38" s="5"/>
      <c r="X38" s="6">
        <v>7</v>
      </c>
      <c r="Y38" s="5">
        <v>13</v>
      </c>
      <c r="Z38" s="5">
        <v>17</v>
      </c>
      <c r="AA38" s="5">
        <v>17</v>
      </c>
      <c r="AB38" s="5"/>
      <c r="AC38" s="6">
        <v>5</v>
      </c>
      <c r="AD38" s="5">
        <v>18</v>
      </c>
      <c r="AE38" s="5">
        <v>25</v>
      </c>
      <c r="AF38" s="5">
        <v>24</v>
      </c>
      <c r="AG38" s="3"/>
      <c r="AH38" s="1"/>
      <c r="AI38" s="6">
        <v>9</v>
      </c>
      <c r="AJ38" s="5">
        <v>20</v>
      </c>
      <c r="AK38" s="5">
        <v>10</v>
      </c>
      <c r="AL38" s="5">
        <v>18</v>
      </c>
      <c r="AM38" s="5"/>
      <c r="AN38" s="6">
        <v>5</v>
      </c>
      <c r="AO38" s="5">
        <v>4</v>
      </c>
      <c r="AP38" s="5">
        <v>5</v>
      </c>
      <c r="AQ38" s="5">
        <v>1</v>
      </c>
      <c r="AR38" s="5"/>
      <c r="AS38" s="6">
        <v>12</v>
      </c>
      <c r="AT38" s="5">
        <v>31</v>
      </c>
      <c r="AU38" s="5">
        <v>15</v>
      </c>
      <c r="AV38" s="5">
        <v>30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</row>
    <row r="39" spans="2:74" x14ac:dyDescent="0.25">
      <c r="B39" s="1"/>
      <c r="C39" s="6">
        <v>4</v>
      </c>
      <c r="D39" s="5">
        <v>6</v>
      </c>
      <c r="E39" s="5">
        <v>9</v>
      </c>
      <c r="F39" s="5">
        <v>0</v>
      </c>
      <c r="G39" s="5"/>
      <c r="H39" s="6">
        <v>5</v>
      </c>
      <c r="I39" s="5">
        <v>11</v>
      </c>
      <c r="J39" s="5">
        <v>13</v>
      </c>
      <c r="K39" s="5">
        <v>12</v>
      </c>
      <c r="L39" s="5"/>
      <c r="M39" s="6">
        <v>11</v>
      </c>
      <c r="N39" s="5">
        <v>13</v>
      </c>
      <c r="O39" s="5">
        <v>26</v>
      </c>
      <c r="P39" s="5">
        <v>24</v>
      </c>
      <c r="Q39" s="3"/>
      <c r="R39" s="1"/>
      <c r="S39" s="6">
        <v>5</v>
      </c>
      <c r="T39" s="5">
        <v>21</v>
      </c>
      <c r="U39" s="5">
        <v>26</v>
      </c>
      <c r="V39" s="5">
        <v>19</v>
      </c>
      <c r="W39" s="5"/>
      <c r="X39" s="6">
        <v>8</v>
      </c>
      <c r="Y39" s="5">
        <v>18</v>
      </c>
      <c r="Z39" s="5">
        <v>22</v>
      </c>
      <c r="AA39" s="5">
        <v>24</v>
      </c>
      <c r="AB39" s="5"/>
      <c r="AC39" s="6">
        <v>5</v>
      </c>
      <c r="AD39" s="5">
        <v>16</v>
      </c>
      <c r="AE39" s="5">
        <v>27</v>
      </c>
      <c r="AF39" s="5">
        <v>17</v>
      </c>
      <c r="AG39" s="3"/>
      <c r="AH39" s="1"/>
      <c r="AI39" s="6">
        <v>12</v>
      </c>
      <c r="AJ39" s="5">
        <v>14</v>
      </c>
      <c r="AK39" s="5">
        <v>15</v>
      </c>
      <c r="AL39" s="5">
        <v>20</v>
      </c>
      <c r="AM39" s="5"/>
      <c r="AN39" s="6">
        <v>5</v>
      </c>
      <c r="AO39" s="5">
        <v>29</v>
      </c>
      <c r="AP39" s="5">
        <v>28</v>
      </c>
      <c r="AQ39" s="5">
        <v>22</v>
      </c>
      <c r="AR39" s="5"/>
      <c r="AS39" s="6">
        <v>0</v>
      </c>
      <c r="AT39" s="5">
        <v>0</v>
      </c>
      <c r="AU39" s="5">
        <v>0</v>
      </c>
      <c r="AV39" s="5">
        <v>0</v>
      </c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</row>
    <row r="40" spans="2:74" x14ac:dyDescent="0.25">
      <c r="B40" s="1"/>
      <c r="C40" s="6">
        <v>5</v>
      </c>
      <c r="D40" s="5">
        <v>12</v>
      </c>
      <c r="E40" s="5">
        <v>15</v>
      </c>
      <c r="F40" s="5">
        <v>11</v>
      </c>
      <c r="G40" s="5"/>
      <c r="H40" s="6">
        <v>7</v>
      </c>
      <c r="I40" s="5">
        <v>29</v>
      </c>
      <c r="J40" s="5">
        <v>12</v>
      </c>
      <c r="K40" s="5">
        <v>17</v>
      </c>
      <c r="L40" s="5"/>
      <c r="M40" s="6">
        <v>12</v>
      </c>
      <c r="N40" s="5">
        <v>25</v>
      </c>
      <c r="O40" s="5">
        <v>23</v>
      </c>
      <c r="P40" s="5">
        <v>21</v>
      </c>
      <c r="Q40" s="3"/>
      <c r="R40" s="1"/>
      <c r="S40" s="6">
        <v>4</v>
      </c>
      <c r="T40" s="5">
        <v>10</v>
      </c>
      <c r="U40" s="5">
        <v>21</v>
      </c>
      <c r="V40" s="5">
        <v>21</v>
      </c>
      <c r="W40" s="5"/>
      <c r="X40" s="6">
        <v>6</v>
      </c>
      <c r="Y40" s="5">
        <v>16</v>
      </c>
      <c r="Z40" s="5">
        <v>15</v>
      </c>
      <c r="AA40" s="5">
        <v>20</v>
      </c>
      <c r="AB40" s="5"/>
      <c r="AC40" s="6">
        <v>5</v>
      </c>
      <c r="AD40" s="5">
        <v>11</v>
      </c>
      <c r="AE40" s="5">
        <v>11</v>
      </c>
      <c r="AF40" s="5">
        <v>9</v>
      </c>
      <c r="AG40" s="3"/>
      <c r="AH40" s="1"/>
      <c r="AI40" s="6">
        <v>5</v>
      </c>
      <c r="AJ40" s="5">
        <v>17</v>
      </c>
      <c r="AK40" s="5">
        <v>10</v>
      </c>
      <c r="AL40" s="5">
        <v>3</v>
      </c>
      <c r="AM40" s="5"/>
      <c r="AN40" s="6">
        <v>4</v>
      </c>
      <c r="AO40" s="5">
        <v>22</v>
      </c>
      <c r="AP40" s="5">
        <v>28</v>
      </c>
      <c r="AQ40" s="5">
        <v>20</v>
      </c>
      <c r="AR40" s="5"/>
      <c r="AS40" s="6">
        <v>4</v>
      </c>
      <c r="AT40" s="5">
        <v>12</v>
      </c>
      <c r="AU40" s="5">
        <v>12</v>
      </c>
      <c r="AV40" s="5">
        <v>6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</row>
    <row r="41" spans="2:74" x14ac:dyDescent="0.25">
      <c r="B41" s="1"/>
      <c r="C41" s="4">
        <v>0</v>
      </c>
      <c r="D41" s="31">
        <v>0</v>
      </c>
      <c r="E41" s="31">
        <v>0</v>
      </c>
      <c r="F41" s="31">
        <v>0</v>
      </c>
      <c r="G41" s="5"/>
      <c r="H41" s="4">
        <v>0</v>
      </c>
      <c r="I41" s="31">
        <v>0</v>
      </c>
      <c r="J41" s="31">
        <v>0</v>
      </c>
      <c r="K41" s="31">
        <v>0</v>
      </c>
      <c r="L41" s="5"/>
      <c r="M41" s="4">
        <v>7</v>
      </c>
      <c r="N41" s="31">
        <v>35</v>
      </c>
      <c r="O41" s="31">
        <v>29</v>
      </c>
      <c r="P41" s="31">
        <v>27</v>
      </c>
      <c r="Q41" s="3"/>
      <c r="R41" s="1"/>
      <c r="S41" s="4">
        <v>2</v>
      </c>
      <c r="T41" s="31">
        <v>15</v>
      </c>
      <c r="U41" s="31">
        <v>10</v>
      </c>
      <c r="V41" s="31">
        <v>6</v>
      </c>
      <c r="W41" s="5"/>
      <c r="X41" s="4">
        <v>5</v>
      </c>
      <c r="Y41" s="31">
        <v>15</v>
      </c>
      <c r="Z41" s="31">
        <v>9</v>
      </c>
      <c r="AA41" s="31">
        <v>0</v>
      </c>
      <c r="AB41" s="5"/>
      <c r="AC41" s="4">
        <v>5</v>
      </c>
      <c r="AD41" s="31">
        <v>15</v>
      </c>
      <c r="AE41" s="31">
        <v>19</v>
      </c>
      <c r="AF41" s="31">
        <v>12</v>
      </c>
      <c r="AG41" s="3"/>
      <c r="AH41" s="1"/>
      <c r="AI41" s="4">
        <v>0</v>
      </c>
      <c r="AJ41" s="31">
        <v>0</v>
      </c>
      <c r="AK41" s="31">
        <v>0</v>
      </c>
      <c r="AL41" s="31">
        <v>0</v>
      </c>
      <c r="AM41" s="5"/>
      <c r="AN41" s="4">
        <v>0</v>
      </c>
      <c r="AO41" s="31">
        <v>0</v>
      </c>
      <c r="AP41" s="31">
        <v>0</v>
      </c>
      <c r="AQ41" s="31">
        <v>0</v>
      </c>
      <c r="AR41" s="5"/>
      <c r="AS41" s="4">
        <v>6</v>
      </c>
      <c r="AT41" s="31">
        <v>30</v>
      </c>
      <c r="AU41" s="31">
        <v>20</v>
      </c>
      <c r="AV41" s="31">
        <v>21</v>
      </c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</row>
    <row r="42" spans="2:74" x14ac:dyDescent="0.25">
      <c r="B42" s="32" t="s">
        <v>21</v>
      </c>
      <c r="C42" s="33">
        <f>AVERAGE(C26:C40)</f>
        <v>6.4666666666666668</v>
      </c>
      <c r="D42" s="163">
        <f>AVERAGE(D26:E40,F26:F32,F34:F38,F40)</f>
        <v>21.627906976744185</v>
      </c>
      <c r="E42" s="163"/>
      <c r="F42" s="163"/>
      <c r="G42" s="34"/>
      <c r="H42" s="33">
        <f>AVERAGE(H26:H40)</f>
        <v>6.7333333333333334</v>
      </c>
      <c r="I42" s="163">
        <f>AVERAGE(I26:K40)</f>
        <v>20.68888888888889</v>
      </c>
      <c r="J42" s="163"/>
      <c r="K42" s="163"/>
      <c r="L42" s="34"/>
      <c r="M42" s="33">
        <f>AVERAGE(M26:M41)</f>
        <v>7.8125</v>
      </c>
      <c r="N42" s="163">
        <f>AVERAGE(N26:O41,P26:P37,P39:P41)</f>
        <v>22.297872340425531</v>
      </c>
      <c r="O42" s="163"/>
      <c r="P42" s="163"/>
      <c r="Q42" s="3"/>
      <c r="R42" s="32" t="s">
        <v>21</v>
      </c>
      <c r="S42" s="33">
        <f>AVERAGE(S26:S41)</f>
        <v>9</v>
      </c>
      <c r="T42" s="163">
        <f>AVERAGE(T26:V41)</f>
        <v>17.583333333333332</v>
      </c>
      <c r="U42" s="163"/>
      <c r="V42" s="163"/>
      <c r="W42" s="34"/>
      <c r="X42" s="33">
        <f>AVERAGE(X26:X41)</f>
        <v>8.25</v>
      </c>
      <c r="Y42" s="163">
        <f>AVERAGE(Y26:Z41,AA26:AA40)</f>
        <v>19.297872340425531</v>
      </c>
      <c r="Z42" s="163"/>
      <c r="AA42" s="163"/>
      <c r="AB42" s="34"/>
      <c r="AC42" s="33">
        <f>AVERAGE(AC31:AC41,AC26:AC29)</f>
        <v>6.1333333333333337</v>
      </c>
      <c r="AD42" s="163">
        <f>AVERAGE(AD31:AE41,AD26:AF29,AF31:AF33,AF35:AF41)</f>
        <v>14.840909090909092</v>
      </c>
      <c r="AE42" s="163"/>
      <c r="AF42" s="163"/>
      <c r="AG42" s="3"/>
      <c r="AH42" s="32" t="s">
        <v>21</v>
      </c>
      <c r="AI42" s="33">
        <f>AVERAGE(AI26:AI40)</f>
        <v>11.333333333333334</v>
      </c>
      <c r="AJ42" s="163">
        <f>AVERAGE(AJ26:AL40)</f>
        <v>17.111111111111111</v>
      </c>
      <c r="AK42" s="163"/>
      <c r="AL42" s="163"/>
      <c r="AM42" s="34"/>
      <c r="AN42" s="33">
        <f>AVERAGE(AN26:AN40)</f>
        <v>8.1333333333333329</v>
      </c>
      <c r="AO42" s="163">
        <f>AVERAGE(AO26:AP40,AQ26:AQ33,AQ35:AQ40)</f>
        <v>21.386363636363637</v>
      </c>
      <c r="AP42" s="163"/>
      <c r="AQ42" s="163"/>
      <c r="AR42" s="34"/>
      <c r="AS42" s="33">
        <f>AVERAGE(AS40:AS41,AS26:AS38)</f>
        <v>7.4666666666666668</v>
      </c>
      <c r="AT42" s="163">
        <f>AVERAGE(AT40:AV41,AT37:AV38,AT26:AV34)</f>
        <v>20</v>
      </c>
      <c r="AU42" s="163"/>
      <c r="AV42" s="163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</row>
    <row r="43" spans="2:74" x14ac:dyDescent="0.25">
      <c r="B43" s="1"/>
      <c r="C43" s="37"/>
      <c r="D43" s="164"/>
      <c r="E43" s="164"/>
      <c r="F43" s="164"/>
      <c r="G43" s="37"/>
      <c r="H43" s="37"/>
      <c r="I43" s="164"/>
      <c r="J43" s="164"/>
      <c r="K43" s="164"/>
      <c r="L43" s="37"/>
      <c r="M43" s="37"/>
      <c r="N43" s="164"/>
      <c r="O43" s="164"/>
      <c r="P43" s="164"/>
      <c r="Q43" s="3"/>
      <c r="R43" s="1"/>
      <c r="S43" s="37"/>
      <c r="T43" s="164"/>
      <c r="U43" s="164"/>
      <c r="V43" s="164"/>
      <c r="W43" s="37"/>
      <c r="X43" s="37"/>
      <c r="Y43" s="164"/>
      <c r="Z43" s="164"/>
      <c r="AA43" s="164"/>
      <c r="AB43" s="37"/>
      <c r="AC43" s="48"/>
      <c r="AD43" s="47"/>
      <c r="AE43" s="47"/>
      <c r="AF43" s="47"/>
      <c r="AG43" s="3"/>
      <c r="AH43" s="1"/>
      <c r="AI43" s="48"/>
      <c r="AJ43" s="47"/>
      <c r="AK43" s="47"/>
      <c r="AL43" s="47"/>
      <c r="AM43" s="37"/>
      <c r="AN43" s="37"/>
      <c r="AO43" s="164"/>
      <c r="AP43" s="164"/>
      <c r="AQ43" s="164"/>
      <c r="AR43" s="37"/>
      <c r="AS43" s="37"/>
      <c r="AT43" s="164"/>
      <c r="AU43" s="164"/>
      <c r="AV43" s="164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</row>
    <row r="44" spans="2:74" s="30" customFormat="1" x14ac:dyDescent="0.25">
      <c r="B44" s="1"/>
      <c r="C44" s="35"/>
      <c r="D44" s="166"/>
      <c r="E44" s="166"/>
      <c r="F44" s="166"/>
      <c r="G44" s="35"/>
      <c r="H44" s="35"/>
      <c r="I44" s="166"/>
      <c r="J44" s="166"/>
      <c r="K44" s="166"/>
      <c r="L44" s="35"/>
      <c r="M44" s="35"/>
      <c r="N44" s="166"/>
      <c r="O44" s="166"/>
      <c r="P44" s="166"/>
      <c r="Q44" s="3"/>
      <c r="R44" s="1"/>
      <c r="S44" s="35"/>
      <c r="T44" s="166"/>
      <c r="U44" s="166"/>
      <c r="V44" s="166"/>
      <c r="W44" s="35"/>
      <c r="X44" s="35"/>
      <c r="Y44" s="166"/>
      <c r="Z44" s="166"/>
      <c r="AA44" s="166"/>
      <c r="AB44" s="35"/>
      <c r="AC44" s="35"/>
      <c r="AD44" s="166"/>
      <c r="AE44" s="166"/>
      <c r="AF44" s="166"/>
      <c r="AG44" s="3"/>
      <c r="AH44" s="1"/>
      <c r="AI44" s="35"/>
      <c r="AJ44" s="166"/>
      <c r="AK44" s="166"/>
      <c r="AL44" s="166"/>
      <c r="AM44" s="35"/>
      <c r="AN44" s="35"/>
      <c r="AO44" s="166"/>
      <c r="AP44" s="166"/>
      <c r="AQ44" s="166"/>
      <c r="AR44" s="35"/>
      <c r="AS44" s="35"/>
      <c r="AT44" s="166"/>
      <c r="AU44" s="166"/>
      <c r="AV44" s="166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</row>
    <row r="45" spans="2:74" s="30" customFormat="1" x14ac:dyDescent="0.25">
      <c r="B45" s="1"/>
      <c r="C45" s="37"/>
      <c r="D45" s="37"/>
      <c r="E45" s="37"/>
      <c r="F45" s="37"/>
      <c r="G45" s="37"/>
      <c r="H45" s="37"/>
      <c r="I45" s="37"/>
      <c r="J45" s="37"/>
      <c r="K45" s="37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7"/>
      <c r="Z45" s="17"/>
      <c r="AA45" s="17"/>
      <c r="AB45" s="17"/>
      <c r="AC45" s="17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</row>
    <row r="46" spans="2:74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3"/>
      <c r="R46" s="3"/>
      <c r="S46" s="3"/>
      <c r="T46" s="3"/>
      <c r="U46" s="3"/>
      <c r="V46" s="3"/>
      <c r="W46" s="3"/>
      <c r="X46" s="3"/>
      <c r="Y46" s="17"/>
      <c r="Z46" s="17"/>
      <c r="AA46" s="17"/>
      <c r="AB46" s="17"/>
      <c r="AC46" s="17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</row>
    <row r="47" spans="2:74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3"/>
      <c r="R47" s="3"/>
      <c r="S47" s="3"/>
      <c r="T47" s="3"/>
      <c r="U47" s="3"/>
      <c r="V47" s="3"/>
      <c r="W47" s="3"/>
      <c r="X47" s="3"/>
      <c r="Y47" s="17"/>
      <c r="Z47" s="17"/>
      <c r="AA47" s="17"/>
      <c r="AB47" s="17"/>
      <c r="AC47" s="17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</row>
    <row r="48" spans="2:74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3"/>
      <c r="R48" s="3"/>
      <c r="S48" s="3"/>
      <c r="T48" s="3"/>
      <c r="U48" s="3"/>
      <c r="V48" s="3"/>
      <c r="W48" s="3"/>
      <c r="X48" s="3"/>
      <c r="Y48" s="17"/>
      <c r="Z48" s="17"/>
      <c r="AA48" s="17"/>
      <c r="AB48" s="17"/>
      <c r="AC48" s="17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</row>
    <row r="49" spans="17:74" x14ac:dyDescent="0.25">
      <c r="Q49" s="3"/>
      <c r="R49" s="3"/>
      <c r="S49" s="3"/>
      <c r="T49" s="3"/>
      <c r="U49" s="3"/>
      <c r="V49" s="3"/>
      <c r="W49" s="3"/>
      <c r="X49" s="3"/>
      <c r="Y49" s="17"/>
      <c r="Z49" s="17"/>
      <c r="AA49" s="17"/>
      <c r="AB49" s="17"/>
      <c r="AC49" s="17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</row>
    <row r="50" spans="17:74" x14ac:dyDescent="0.25">
      <c r="Q50" s="3"/>
      <c r="R50" s="3"/>
      <c r="S50" s="3"/>
      <c r="T50" s="3"/>
      <c r="U50" s="3"/>
      <c r="V50" s="3"/>
      <c r="W50" s="3"/>
      <c r="X50" s="3"/>
      <c r="Y50" s="17"/>
      <c r="Z50" s="17"/>
      <c r="AA50" s="17"/>
      <c r="AB50" s="17"/>
      <c r="AC50" s="17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</row>
    <row r="51" spans="17:74" x14ac:dyDescent="0.25">
      <c r="Q51" s="3"/>
      <c r="R51" s="3"/>
      <c r="S51" s="3"/>
      <c r="T51" s="3"/>
      <c r="U51" s="3"/>
      <c r="V51" s="3"/>
      <c r="W51" s="3"/>
      <c r="X51" s="3"/>
      <c r="Y51" s="17"/>
      <c r="Z51" s="17"/>
      <c r="AA51" s="17"/>
      <c r="AB51" s="17"/>
      <c r="AC51" s="17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</row>
    <row r="52" spans="17:74" x14ac:dyDescent="0.25">
      <c r="Q52" s="3"/>
      <c r="R52" s="3"/>
      <c r="S52" s="3"/>
      <c r="T52" s="3"/>
      <c r="U52" s="3"/>
      <c r="V52" s="3"/>
      <c r="W52" s="3"/>
      <c r="X52" s="3"/>
      <c r="Y52" s="17"/>
      <c r="Z52" s="17"/>
      <c r="AA52" s="17"/>
      <c r="AB52" s="17"/>
      <c r="AC52" s="17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</row>
    <row r="53" spans="17:74" x14ac:dyDescent="0.25">
      <c r="Q53" s="3"/>
      <c r="R53" s="3"/>
      <c r="S53" s="3"/>
      <c r="T53" s="3"/>
      <c r="U53" s="3"/>
      <c r="V53" s="3"/>
      <c r="W53" s="3"/>
      <c r="X53" s="3"/>
      <c r="Y53" s="17"/>
      <c r="Z53" s="17"/>
      <c r="AA53" s="17"/>
      <c r="AB53" s="17"/>
      <c r="AC53" s="17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</row>
    <row r="54" spans="17:74" x14ac:dyDescent="0.25">
      <c r="Q54" s="3"/>
      <c r="R54" s="3"/>
      <c r="S54" s="3"/>
      <c r="T54" s="3"/>
      <c r="U54" s="3"/>
      <c r="V54" s="3"/>
      <c r="W54" s="3"/>
      <c r="X54" s="3"/>
      <c r="Y54" s="17"/>
      <c r="Z54" s="17"/>
      <c r="AA54" s="17"/>
      <c r="AB54" s="17"/>
      <c r="AC54" s="17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</row>
    <row r="55" spans="17:74" x14ac:dyDescent="0.25">
      <c r="Q55" s="3"/>
      <c r="R55" s="3"/>
      <c r="S55" s="3"/>
      <c r="T55" s="3"/>
      <c r="U55" s="3"/>
      <c r="V55" s="3"/>
      <c r="W55" s="3"/>
      <c r="X55" s="3"/>
      <c r="Y55" s="17"/>
      <c r="Z55" s="17"/>
      <c r="AA55" s="17"/>
      <c r="AB55" s="17"/>
      <c r="AC55" s="17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</row>
    <row r="56" spans="17:74" x14ac:dyDescent="0.25">
      <c r="Q56" s="3"/>
      <c r="R56" s="3"/>
      <c r="S56" s="3"/>
      <c r="T56" s="3"/>
      <c r="U56" s="3"/>
      <c r="V56" s="3"/>
      <c r="W56" s="3"/>
      <c r="X56" s="3"/>
      <c r="Y56" s="17"/>
      <c r="Z56" s="17"/>
      <c r="AA56" s="17"/>
      <c r="AB56" s="17"/>
      <c r="AC56" s="17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</row>
    <row r="57" spans="17:74" x14ac:dyDescent="0.25">
      <c r="Q57" s="3"/>
      <c r="R57" s="3"/>
      <c r="S57" s="3"/>
      <c r="T57" s="3"/>
      <c r="U57" s="3"/>
      <c r="V57" s="3"/>
      <c r="W57" s="3"/>
      <c r="X57" s="3"/>
      <c r="Y57" s="17"/>
      <c r="Z57" s="17"/>
      <c r="AA57" s="17"/>
      <c r="AB57" s="17"/>
      <c r="AC57" s="17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</row>
    <row r="58" spans="17:74" x14ac:dyDescent="0.25">
      <c r="Q58" s="3"/>
      <c r="R58" s="3"/>
      <c r="S58" s="3"/>
      <c r="T58" s="3"/>
      <c r="U58" s="3"/>
      <c r="V58" s="3"/>
      <c r="W58" s="3"/>
      <c r="X58" s="3"/>
      <c r="Y58" s="17"/>
      <c r="Z58" s="17"/>
      <c r="AA58" s="17"/>
      <c r="AB58" s="17"/>
      <c r="AC58" s="17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</row>
    <row r="59" spans="17:74" x14ac:dyDescent="0.25">
      <c r="Q59" s="3"/>
      <c r="R59" s="3"/>
      <c r="S59" s="3"/>
      <c r="T59" s="3"/>
      <c r="U59" s="3"/>
      <c r="V59" s="3"/>
      <c r="W59" s="3"/>
      <c r="X59" s="3"/>
      <c r="Y59" s="17"/>
      <c r="Z59" s="17"/>
      <c r="AA59" s="17"/>
      <c r="AB59" s="17"/>
      <c r="AC59" s="17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</row>
    <row r="60" spans="17:74" x14ac:dyDescent="0.25">
      <c r="Q60" s="3"/>
      <c r="R60" s="3"/>
      <c r="S60" s="3"/>
      <c r="T60" s="3"/>
      <c r="U60" s="3"/>
      <c r="V60" s="3"/>
      <c r="W60" s="3"/>
      <c r="X60" s="3"/>
      <c r="Y60" s="17"/>
      <c r="Z60" s="17"/>
      <c r="AA60" s="17"/>
      <c r="AB60" s="17"/>
      <c r="AC60" s="17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</row>
    <row r="61" spans="17:74" x14ac:dyDescent="0.25">
      <c r="Q61" s="3"/>
      <c r="R61" s="3"/>
      <c r="S61" s="3"/>
      <c r="T61" s="3"/>
      <c r="U61" s="3"/>
      <c r="V61" s="3"/>
      <c r="W61" s="3"/>
      <c r="X61" s="3"/>
      <c r="Y61" s="17"/>
      <c r="Z61" s="17"/>
      <c r="AA61" s="17"/>
      <c r="AB61" s="17"/>
      <c r="AC61" s="17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</row>
    <row r="62" spans="17:74" x14ac:dyDescent="0.25">
      <c r="Q62" s="3"/>
      <c r="R62" s="3"/>
      <c r="S62" s="3"/>
      <c r="T62" s="3"/>
      <c r="U62" s="3"/>
      <c r="V62" s="3"/>
      <c r="W62" s="3"/>
      <c r="X62" s="3"/>
      <c r="Y62" s="17"/>
      <c r="Z62" s="17"/>
      <c r="AA62" s="17"/>
      <c r="AB62" s="17"/>
      <c r="AC62" s="17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</row>
    <row r="63" spans="17:74" x14ac:dyDescent="0.25">
      <c r="Q63" s="3"/>
      <c r="R63" s="3"/>
      <c r="S63" s="3"/>
      <c r="T63" s="3"/>
      <c r="U63" s="3"/>
      <c r="V63" s="3"/>
      <c r="W63" s="3"/>
      <c r="X63" s="3"/>
      <c r="Y63" s="17"/>
      <c r="Z63" s="17"/>
      <c r="AA63" s="17"/>
      <c r="AB63" s="17"/>
      <c r="AC63" s="17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</row>
    <row r="64" spans="17:74" x14ac:dyDescent="0.25">
      <c r="Q64" s="3"/>
      <c r="R64" s="3"/>
      <c r="S64" s="3"/>
      <c r="T64" s="3"/>
      <c r="U64" s="3"/>
      <c r="V64" s="3"/>
      <c r="W64" s="3"/>
      <c r="X64" s="3"/>
      <c r="Y64" s="17"/>
      <c r="Z64" s="17"/>
      <c r="AA64" s="17"/>
      <c r="AB64" s="17"/>
      <c r="AC64" s="17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</row>
    <row r="65" spans="2:74" x14ac:dyDescent="0.25">
      <c r="Q65" s="3"/>
      <c r="R65" s="3"/>
      <c r="S65" s="3"/>
      <c r="T65" s="3"/>
      <c r="U65" s="3"/>
      <c r="V65" s="3"/>
      <c r="W65" s="3"/>
      <c r="X65" s="3"/>
      <c r="Y65" s="17"/>
      <c r="Z65" s="17"/>
      <c r="AA65" s="17"/>
      <c r="AB65" s="17"/>
      <c r="AC65" s="17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</row>
    <row r="66" spans="2:74" x14ac:dyDescent="0.25">
      <c r="Q66" s="3"/>
      <c r="R66" s="3"/>
      <c r="S66" s="3"/>
      <c r="T66" s="3"/>
      <c r="U66" s="3"/>
      <c r="V66" s="3"/>
      <c r="W66" s="3"/>
      <c r="X66" s="3"/>
      <c r="Y66" s="17"/>
      <c r="Z66" s="17"/>
      <c r="AA66" s="17"/>
      <c r="AB66" s="17"/>
      <c r="AC66" s="17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</row>
    <row r="67" spans="2:74" x14ac:dyDescent="0.25">
      <c r="B67" s="1"/>
      <c r="C67" s="5"/>
      <c r="D67" s="169"/>
      <c r="E67" s="169"/>
      <c r="F67" s="169"/>
      <c r="G67" s="5"/>
      <c r="H67" s="5"/>
      <c r="I67" s="169"/>
      <c r="J67" s="169"/>
      <c r="K67" s="169"/>
      <c r="L67" s="5"/>
      <c r="M67" s="5"/>
      <c r="N67" s="169"/>
      <c r="O67" s="169"/>
      <c r="P67" s="169"/>
      <c r="Q67" s="3"/>
      <c r="R67" s="3"/>
      <c r="S67" s="3"/>
      <c r="T67" s="3"/>
      <c r="U67" s="3"/>
      <c r="V67" s="3"/>
      <c r="W67" s="3"/>
      <c r="X67" s="3"/>
      <c r="Y67" s="17"/>
      <c r="Z67" s="17"/>
      <c r="AA67" s="17"/>
      <c r="AB67" s="17"/>
      <c r="AC67" s="17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</row>
    <row r="68" spans="2:74" x14ac:dyDescent="0.25">
      <c r="B68" s="1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3"/>
      <c r="R68" s="3"/>
      <c r="S68" s="3"/>
      <c r="T68" s="3"/>
      <c r="U68" s="3"/>
      <c r="V68" s="3"/>
      <c r="W68" s="3"/>
      <c r="X68" s="3"/>
      <c r="Y68" s="17"/>
      <c r="Z68" s="17"/>
      <c r="AA68" s="17"/>
      <c r="AB68" s="17"/>
      <c r="AC68" s="17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</row>
    <row r="69" spans="2:74" x14ac:dyDescent="0.25">
      <c r="B69" s="1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3"/>
      <c r="R69" s="3"/>
      <c r="S69" s="3"/>
      <c r="T69" s="3"/>
      <c r="U69" s="3"/>
      <c r="V69" s="3"/>
      <c r="W69" s="3"/>
      <c r="X69" s="3"/>
      <c r="Y69" s="17"/>
      <c r="Z69" s="17"/>
      <c r="AA69" s="17"/>
      <c r="AB69" s="17"/>
      <c r="AC69" s="17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</row>
    <row r="70" spans="2:74" x14ac:dyDescent="0.25">
      <c r="B70" s="1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</row>
    <row r="71" spans="2:74" x14ac:dyDescent="0.25">
      <c r="B71" s="1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</row>
    <row r="72" spans="2:74" x14ac:dyDescent="0.25">
      <c r="B72" s="1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</row>
    <row r="73" spans="2:74" x14ac:dyDescent="0.25">
      <c r="B73" s="1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</row>
    <row r="74" spans="2:74" x14ac:dyDescent="0.25">
      <c r="B74" s="1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</row>
    <row r="75" spans="2:74" x14ac:dyDescent="0.25">
      <c r="B75" s="1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</row>
    <row r="76" spans="2:74" x14ac:dyDescent="0.25">
      <c r="B76" s="1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</row>
    <row r="77" spans="2:74" x14ac:dyDescent="0.25">
      <c r="B77" s="1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</row>
    <row r="78" spans="2:74" x14ac:dyDescent="0.25">
      <c r="B78" s="1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</row>
    <row r="79" spans="2:74" x14ac:dyDescent="0.25">
      <c r="B79" s="1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</row>
    <row r="80" spans="2:74" x14ac:dyDescent="0.25">
      <c r="B80" s="1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</row>
    <row r="81" spans="2:74" x14ac:dyDescent="0.25">
      <c r="B81" s="1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</row>
    <row r="82" spans="2:74" x14ac:dyDescent="0.25">
      <c r="B82" s="1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</row>
    <row r="83" spans="2:74" x14ac:dyDescent="0.25">
      <c r="B83" s="1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</row>
    <row r="84" spans="2:74" x14ac:dyDescent="0.25">
      <c r="B84" s="1"/>
      <c r="C84" s="37"/>
      <c r="D84" s="164"/>
      <c r="E84" s="164"/>
      <c r="F84" s="164"/>
      <c r="G84" s="37"/>
      <c r="H84" s="37"/>
      <c r="I84" s="164"/>
      <c r="J84" s="164"/>
      <c r="K84" s="164"/>
      <c r="L84" s="37"/>
      <c r="M84" s="37"/>
      <c r="N84" s="164"/>
      <c r="O84" s="164"/>
      <c r="P84" s="164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</row>
    <row r="85" spans="2:74" x14ac:dyDescent="0.25">
      <c r="B85" s="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</row>
    <row r="86" spans="2:74" x14ac:dyDescent="0.25">
      <c r="B86" s="1"/>
      <c r="C86" s="170"/>
      <c r="D86" s="170"/>
      <c r="E86" s="170"/>
      <c r="F86" s="170"/>
      <c r="G86" s="3"/>
      <c r="H86" s="170"/>
      <c r="I86" s="170"/>
      <c r="J86" s="170"/>
      <c r="K86" s="170"/>
      <c r="L86" s="3"/>
      <c r="M86" s="170"/>
      <c r="N86" s="170"/>
      <c r="O86" s="170"/>
      <c r="P86" s="170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</row>
    <row r="87" spans="2:74" x14ac:dyDescent="0.25">
      <c r="B87" s="1"/>
      <c r="C87" s="3"/>
      <c r="D87" s="170"/>
      <c r="E87" s="170"/>
      <c r="F87" s="170"/>
      <c r="G87" s="3"/>
      <c r="H87" s="3"/>
      <c r="I87" s="170"/>
      <c r="J87" s="170"/>
      <c r="K87" s="170"/>
      <c r="L87" s="3"/>
      <c r="M87" s="3"/>
      <c r="N87" s="170"/>
      <c r="O87" s="170"/>
      <c r="P87" s="170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</row>
    <row r="88" spans="2:74" x14ac:dyDescent="0.25">
      <c r="B88" s="1"/>
      <c r="C88" s="20"/>
      <c r="D88" s="20"/>
      <c r="E88" s="20"/>
      <c r="F88" s="20"/>
      <c r="G88" s="3"/>
      <c r="H88" s="20"/>
      <c r="I88" s="20"/>
      <c r="J88" s="20"/>
      <c r="K88" s="20"/>
      <c r="L88" s="3"/>
      <c r="M88" s="20"/>
      <c r="N88" s="20"/>
      <c r="O88" s="20"/>
      <c r="P88" s="20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</row>
    <row r="89" spans="2:74" x14ac:dyDescent="0.25">
      <c r="B89" s="1"/>
      <c r="C89" s="20"/>
      <c r="D89" s="20"/>
      <c r="E89" s="20"/>
      <c r="F89" s="20"/>
      <c r="G89" s="3"/>
      <c r="H89" s="20"/>
      <c r="I89" s="20"/>
      <c r="J89" s="20"/>
      <c r="K89" s="20"/>
      <c r="L89" s="3"/>
      <c r="M89" s="20"/>
      <c r="N89" s="20"/>
      <c r="O89" s="20"/>
      <c r="P89" s="20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</row>
    <row r="90" spans="2:74" x14ac:dyDescent="0.25">
      <c r="B90" s="1"/>
      <c r="C90" s="20"/>
      <c r="D90" s="20"/>
      <c r="E90" s="20"/>
      <c r="F90" s="20"/>
      <c r="G90" s="3"/>
      <c r="H90" s="20"/>
      <c r="I90" s="20"/>
      <c r="J90" s="20"/>
      <c r="K90" s="20"/>
      <c r="L90" s="3"/>
      <c r="M90" s="20"/>
      <c r="N90" s="20"/>
      <c r="O90" s="20"/>
      <c r="P90" s="38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</row>
    <row r="91" spans="2:74" x14ac:dyDescent="0.25">
      <c r="B91" s="1"/>
      <c r="C91" s="20"/>
      <c r="D91" s="20"/>
      <c r="E91" s="20"/>
      <c r="F91" s="20"/>
      <c r="G91" s="3"/>
      <c r="H91" s="20"/>
      <c r="I91" s="20"/>
      <c r="J91" s="20"/>
      <c r="K91" s="20"/>
      <c r="L91" s="3"/>
      <c r="M91" s="20"/>
      <c r="N91" s="20"/>
      <c r="O91" s="20"/>
      <c r="P91" s="20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</row>
    <row r="92" spans="2:74" x14ac:dyDescent="0.25">
      <c r="B92" s="1"/>
      <c r="C92" s="20"/>
      <c r="D92" s="20"/>
      <c r="E92" s="20"/>
      <c r="F92" s="20"/>
      <c r="G92" s="3"/>
      <c r="H92" s="20"/>
      <c r="I92" s="20"/>
      <c r="J92" s="20"/>
      <c r="K92" s="20"/>
      <c r="L92" s="3"/>
      <c r="M92" s="20"/>
      <c r="N92" s="20"/>
      <c r="O92" s="20"/>
      <c r="P92" s="20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</row>
    <row r="93" spans="2:74" x14ac:dyDescent="0.25">
      <c r="B93" s="1"/>
      <c r="C93" s="20"/>
      <c r="D93" s="20"/>
      <c r="E93" s="20"/>
      <c r="F93" s="20"/>
      <c r="G93" s="3"/>
      <c r="H93" s="20"/>
      <c r="I93" s="20"/>
      <c r="J93" s="20"/>
      <c r="K93" s="20"/>
      <c r="L93" s="3"/>
      <c r="M93" s="20"/>
      <c r="N93" s="3"/>
      <c r="O93" s="20"/>
      <c r="P93" s="20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</row>
    <row r="94" spans="2:74" x14ac:dyDescent="0.25">
      <c r="B94" s="1"/>
      <c r="C94" s="20"/>
      <c r="D94" s="20"/>
      <c r="E94" s="20"/>
      <c r="F94" s="38"/>
      <c r="G94" s="3"/>
      <c r="H94" s="20"/>
      <c r="I94" s="20"/>
      <c r="J94" s="20"/>
      <c r="K94" s="20"/>
      <c r="L94" s="3"/>
      <c r="M94" s="20"/>
      <c r="N94" s="20"/>
      <c r="O94" s="20"/>
      <c r="P94" s="20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</row>
    <row r="95" spans="2:74" x14ac:dyDescent="0.25">
      <c r="B95" s="1"/>
      <c r="C95" s="20"/>
      <c r="D95" s="20"/>
      <c r="E95" s="20"/>
      <c r="F95" s="20"/>
      <c r="G95" s="3"/>
      <c r="H95" s="20"/>
      <c r="I95" s="20"/>
      <c r="J95" s="20"/>
      <c r="K95" s="38"/>
      <c r="L95" s="3"/>
      <c r="M95" s="20"/>
      <c r="N95" s="20"/>
      <c r="O95" s="20"/>
      <c r="P95" s="20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</row>
    <row r="96" spans="2:74" x14ac:dyDescent="0.25">
      <c r="B96" s="1"/>
      <c r="C96" s="20"/>
      <c r="D96" s="20"/>
      <c r="E96" s="20"/>
      <c r="F96" s="20"/>
      <c r="G96" s="3"/>
      <c r="H96" s="20"/>
      <c r="I96" s="20"/>
      <c r="J96" s="20"/>
      <c r="K96" s="20"/>
      <c r="L96" s="3"/>
      <c r="M96" s="20"/>
      <c r="N96" s="20"/>
      <c r="O96" s="20"/>
      <c r="P96" s="20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</row>
    <row r="97" spans="2:74" x14ac:dyDescent="0.25">
      <c r="B97" s="1"/>
      <c r="C97" s="20"/>
      <c r="D97" s="20"/>
      <c r="E97" s="20"/>
      <c r="F97" s="20"/>
      <c r="G97" s="3"/>
      <c r="H97" s="20"/>
      <c r="I97" s="20"/>
      <c r="J97" s="20"/>
      <c r="K97" s="20"/>
      <c r="L97" s="3"/>
      <c r="M97" s="20"/>
      <c r="N97" s="20"/>
      <c r="O97" s="20"/>
      <c r="P97" s="20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</row>
    <row r="98" spans="2:74" x14ac:dyDescent="0.25">
      <c r="B98" s="1"/>
      <c r="C98" s="20"/>
      <c r="D98" s="20"/>
      <c r="E98" s="20"/>
      <c r="F98" s="20"/>
      <c r="G98" s="3"/>
      <c r="H98" s="20"/>
      <c r="I98" s="20"/>
      <c r="J98" s="20"/>
      <c r="K98" s="20"/>
      <c r="L98" s="3"/>
      <c r="M98" s="20"/>
      <c r="N98" s="20"/>
      <c r="O98" s="20"/>
      <c r="P98" s="20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</row>
    <row r="99" spans="2:74" x14ac:dyDescent="0.25">
      <c r="B99" s="1"/>
      <c r="C99" s="20"/>
      <c r="D99" s="20"/>
      <c r="E99" s="20"/>
      <c r="F99" s="20"/>
      <c r="G99" s="3"/>
      <c r="H99" s="20"/>
      <c r="I99" s="20"/>
      <c r="J99" s="20"/>
      <c r="K99" s="20"/>
      <c r="L99" s="3"/>
      <c r="M99" s="20"/>
      <c r="N99" s="20"/>
      <c r="O99" s="20"/>
      <c r="P99" s="20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9"/>
      <c r="AC99" s="39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</row>
    <row r="100" spans="2:74" x14ac:dyDescent="0.25">
      <c r="B100" s="1"/>
      <c r="C100" s="20"/>
      <c r="D100" s="20"/>
      <c r="E100" s="20"/>
      <c r="F100" s="20"/>
      <c r="G100" s="3"/>
      <c r="H100" s="20"/>
      <c r="I100" s="20"/>
      <c r="J100" s="20"/>
      <c r="K100" s="20"/>
      <c r="L100" s="3"/>
      <c r="M100" s="20"/>
      <c r="N100" s="20"/>
      <c r="O100" s="20"/>
      <c r="P100" s="20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9"/>
      <c r="AC100" s="39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</row>
    <row r="101" spans="2:74" x14ac:dyDescent="0.25">
      <c r="B101" s="1"/>
      <c r="C101" s="20"/>
      <c r="D101" s="20"/>
      <c r="E101" s="20"/>
      <c r="F101" s="20"/>
      <c r="G101" s="3"/>
      <c r="H101" s="38"/>
      <c r="I101" s="38"/>
      <c r="J101" s="38"/>
      <c r="K101" s="38"/>
      <c r="L101" s="3"/>
      <c r="M101" s="20"/>
      <c r="N101" s="20"/>
      <c r="O101" s="20"/>
      <c r="P101" s="20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9"/>
      <c r="AC101" s="39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</row>
    <row r="102" spans="2:74" x14ac:dyDescent="0.25">
      <c r="B102" s="1"/>
      <c r="C102" s="38"/>
      <c r="D102" s="38"/>
      <c r="E102" s="38"/>
      <c r="F102" s="38"/>
      <c r="G102" s="3"/>
      <c r="H102" s="38"/>
      <c r="I102" s="38"/>
      <c r="J102" s="38"/>
      <c r="K102" s="38"/>
      <c r="L102" s="3"/>
      <c r="M102" s="38"/>
      <c r="N102" s="38"/>
      <c r="O102" s="38"/>
      <c r="P102" s="38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9"/>
      <c r="AC102" s="39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</row>
    <row r="103" spans="2:74" x14ac:dyDescent="0.25">
      <c r="B103" s="1"/>
      <c r="C103" s="38"/>
      <c r="D103" s="38"/>
      <c r="E103" s="38"/>
      <c r="F103" s="38"/>
      <c r="G103" s="3"/>
      <c r="H103" s="38"/>
      <c r="I103" s="38"/>
      <c r="J103" s="38"/>
      <c r="K103" s="38"/>
      <c r="L103" s="3"/>
      <c r="M103" s="38"/>
      <c r="N103" s="38"/>
      <c r="O103" s="38"/>
      <c r="P103" s="38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9"/>
      <c r="AC103" s="39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</row>
    <row r="104" spans="2:74" x14ac:dyDescent="0.25">
      <c r="B104" s="1"/>
      <c r="C104" s="20"/>
      <c r="D104" s="156"/>
      <c r="E104" s="156"/>
      <c r="F104" s="156"/>
      <c r="G104" s="3"/>
      <c r="H104" s="20"/>
      <c r="I104" s="156"/>
      <c r="J104" s="156"/>
      <c r="K104" s="156"/>
      <c r="L104" s="3"/>
      <c r="M104" s="20"/>
      <c r="N104" s="156"/>
      <c r="O104" s="156"/>
      <c r="P104" s="156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9"/>
      <c r="AC104" s="39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</row>
    <row r="105" spans="2:74" x14ac:dyDescent="0.25">
      <c r="B105" s="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9"/>
      <c r="AC105" s="39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</row>
    <row r="106" spans="2:74" x14ac:dyDescent="0.25">
      <c r="B106" s="1"/>
      <c r="C106" s="170"/>
      <c r="D106" s="170"/>
      <c r="E106" s="170"/>
      <c r="F106" s="170"/>
      <c r="G106" s="3"/>
      <c r="H106" s="170"/>
      <c r="I106" s="170"/>
      <c r="J106" s="170"/>
      <c r="K106" s="170"/>
      <c r="L106" s="3"/>
      <c r="M106" s="170"/>
      <c r="N106" s="170"/>
      <c r="O106" s="170"/>
      <c r="P106" s="170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</row>
    <row r="107" spans="2:74" x14ac:dyDescent="0.25">
      <c r="B107" s="1"/>
      <c r="C107" s="3"/>
      <c r="D107" s="170"/>
      <c r="E107" s="170"/>
      <c r="F107" s="170"/>
      <c r="G107" s="3"/>
      <c r="H107" s="3"/>
      <c r="I107" s="170"/>
      <c r="J107" s="170"/>
      <c r="K107" s="170"/>
      <c r="L107" s="3"/>
      <c r="M107" s="3"/>
      <c r="N107" s="170"/>
      <c r="O107" s="170"/>
      <c r="P107" s="170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</row>
    <row r="108" spans="2:74" x14ac:dyDescent="0.25">
      <c r="B108" s="1"/>
      <c r="C108" s="20"/>
      <c r="D108" s="20"/>
      <c r="E108" s="20"/>
      <c r="F108" s="20"/>
      <c r="G108" s="3"/>
      <c r="H108" s="20"/>
      <c r="I108" s="20"/>
      <c r="J108" s="20"/>
      <c r="K108" s="20"/>
      <c r="L108" s="3"/>
      <c r="M108" s="20"/>
      <c r="N108" s="20"/>
      <c r="O108" s="20"/>
      <c r="P108" s="20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</row>
    <row r="109" spans="2:74" x14ac:dyDescent="0.25">
      <c r="B109" s="1"/>
      <c r="C109" s="20"/>
      <c r="D109" s="20"/>
      <c r="E109" s="20"/>
      <c r="F109" s="20"/>
      <c r="G109" s="3"/>
      <c r="H109" s="20"/>
      <c r="I109" s="20"/>
      <c r="J109" s="20"/>
      <c r="K109" s="20"/>
      <c r="L109" s="3"/>
      <c r="M109" s="20"/>
      <c r="N109" s="20"/>
      <c r="O109" s="20"/>
      <c r="P109" s="20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</row>
    <row r="110" spans="2:74" x14ac:dyDescent="0.25">
      <c r="B110" s="1"/>
      <c r="C110" s="20"/>
      <c r="D110" s="20"/>
      <c r="E110" s="20"/>
      <c r="F110" s="20"/>
      <c r="G110" s="3"/>
      <c r="H110" s="20"/>
      <c r="I110" s="20"/>
      <c r="J110" s="20"/>
      <c r="K110" s="20"/>
      <c r="L110" s="3"/>
      <c r="M110" s="20"/>
      <c r="N110" s="20"/>
      <c r="O110" s="20"/>
      <c r="P110" s="20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</row>
    <row r="111" spans="2:74" x14ac:dyDescent="0.25">
      <c r="B111" s="1"/>
      <c r="C111" s="20"/>
      <c r="D111" s="20"/>
      <c r="E111" s="20"/>
      <c r="F111" s="20"/>
      <c r="G111" s="3"/>
      <c r="H111" s="20"/>
      <c r="I111" s="20"/>
      <c r="J111" s="20"/>
      <c r="K111" s="20"/>
      <c r="L111" s="3"/>
      <c r="M111" s="20"/>
      <c r="N111" s="20"/>
      <c r="O111" s="20"/>
      <c r="P111" s="20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</row>
    <row r="112" spans="2:74" x14ac:dyDescent="0.25">
      <c r="B112" s="1"/>
      <c r="C112" s="20"/>
      <c r="D112" s="20"/>
      <c r="E112" s="20"/>
      <c r="F112" s="20"/>
      <c r="G112" s="3"/>
      <c r="H112" s="20"/>
      <c r="I112" s="20"/>
      <c r="J112" s="20"/>
      <c r="K112" s="20"/>
      <c r="L112" s="3"/>
      <c r="M112" s="20"/>
      <c r="N112" s="20"/>
      <c r="O112" s="20"/>
      <c r="P112" s="20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</row>
    <row r="113" spans="2:74" x14ac:dyDescent="0.25">
      <c r="B113" s="1"/>
      <c r="C113" s="20"/>
      <c r="D113" s="20"/>
      <c r="E113" s="20"/>
      <c r="F113" s="20"/>
      <c r="G113" s="3"/>
      <c r="H113" s="20"/>
      <c r="I113" s="20"/>
      <c r="J113" s="20"/>
      <c r="K113" s="20"/>
      <c r="L113" s="3"/>
      <c r="M113" s="20"/>
      <c r="N113" s="20"/>
      <c r="O113" s="20"/>
      <c r="P113" s="20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</row>
    <row r="114" spans="2:74" x14ac:dyDescent="0.25">
      <c r="B114" s="1"/>
      <c r="C114" s="20"/>
      <c r="D114" s="20"/>
      <c r="E114" s="38"/>
      <c r="F114" s="20"/>
      <c r="G114" s="3"/>
      <c r="H114" s="20"/>
      <c r="I114" s="20"/>
      <c r="J114" s="20"/>
      <c r="K114" s="20"/>
      <c r="L114" s="3"/>
      <c r="M114" s="20"/>
      <c r="N114" s="20"/>
      <c r="O114" s="20"/>
      <c r="P114" s="20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</row>
    <row r="115" spans="2:74" x14ac:dyDescent="0.25">
      <c r="B115" s="1"/>
      <c r="C115" s="20"/>
      <c r="D115" s="20"/>
      <c r="E115" s="20"/>
      <c r="F115" s="20"/>
      <c r="G115" s="3"/>
      <c r="H115" s="20"/>
      <c r="I115" s="20"/>
      <c r="J115" s="20"/>
      <c r="K115" s="20"/>
      <c r="L115" s="3"/>
      <c r="M115" s="20"/>
      <c r="N115" s="20"/>
      <c r="O115" s="20"/>
      <c r="P115" s="20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</row>
    <row r="116" spans="2:74" x14ac:dyDescent="0.25">
      <c r="B116" s="1"/>
      <c r="C116" s="20"/>
      <c r="D116" s="20"/>
      <c r="E116" s="20"/>
      <c r="F116" s="20"/>
      <c r="G116" s="3"/>
      <c r="H116" s="20"/>
      <c r="I116" s="20"/>
      <c r="J116" s="20"/>
      <c r="K116" s="20"/>
      <c r="L116" s="3"/>
      <c r="M116" s="20"/>
      <c r="N116" s="20"/>
      <c r="O116" s="20"/>
      <c r="P116" s="20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</row>
    <row r="117" spans="2:74" x14ac:dyDescent="0.25">
      <c r="B117" s="1"/>
      <c r="C117" s="20"/>
      <c r="D117" s="20"/>
      <c r="E117" s="20"/>
      <c r="F117" s="20"/>
      <c r="G117" s="3"/>
      <c r="H117" s="20"/>
      <c r="I117" s="20"/>
      <c r="J117" s="20"/>
      <c r="K117" s="20"/>
      <c r="L117" s="3"/>
      <c r="M117" s="20"/>
      <c r="N117" s="20"/>
      <c r="O117" s="20"/>
      <c r="P117" s="20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</row>
    <row r="118" spans="2:74" x14ac:dyDescent="0.25">
      <c r="B118" s="1"/>
      <c r="C118" s="20"/>
      <c r="D118" s="20"/>
      <c r="E118" s="20"/>
      <c r="F118" s="20"/>
      <c r="G118" s="3"/>
      <c r="H118" s="20"/>
      <c r="I118" s="20"/>
      <c r="J118" s="20"/>
      <c r="K118" s="20"/>
      <c r="L118" s="3"/>
      <c r="M118" s="20"/>
      <c r="N118" s="20"/>
      <c r="O118" s="20"/>
      <c r="P118" s="20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</row>
    <row r="119" spans="2:74" x14ac:dyDescent="0.25">
      <c r="B119" s="1"/>
      <c r="C119" s="20"/>
      <c r="D119" s="20"/>
      <c r="E119" s="20"/>
      <c r="F119" s="20"/>
      <c r="G119" s="3"/>
      <c r="H119" s="20"/>
      <c r="I119" s="20"/>
      <c r="J119" s="20"/>
      <c r="K119" s="20"/>
      <c r="L119" s="3"/>
      <c r="M119" s="38"/>
      <c r="N119" s="38"/>
      <c r="O119" s="38"/>
      <c r="P119" s="38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</row>
    <row r="120" spans="2:74" x14ac:dyDescent="0.25">
      <c r="B120" s="1"/>
      <c r="C120" s="20"/>
      <c r="D120" s="20"/>
      <c r="E120" s="20"/>
      <c r="F120" s="20"/>
      <c r="G120" s="3"/>
      <c r="H120" s="20"/>
      <c r="I120" s="20"/>
      <c r="J120" s="20"/>
      <c r="K120" s="20"/>
      <c r="L120" s="3"/>
      <c r="M120" s="38"/>
      <c r="N120" s="38"/>
      <c r="O120" s="38"/>
      <c r="P120" s="38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</row>
    <row r="121" spans="2:74" x14ac:dyDescent="0.25">
      <c r="B121" s="1"/>
      <c r="C121" s="20"/>
      <c r="D121" s="20"/>
      <c r="E121" s="20"/>
      <c r="F121" s="20"/>
      <c r="G121" s="3"/>
      <c r="H121" s="20"/>
      <c r="I121" s="20"/>
      <c r="J121" s="20"/>
      <c r="K121" s="20"/>
      <c r="L121" s="3"/>
      <c r="M121" s="38"/>
      <c r="N121" s="38"/>
      <c r="O121" s="38"/>
      <c r="P121" s="38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</row>
    <row r="122" spans="2:74" x14ac:dyDescent="0.25">
      <c r="B122" s="1"/>
      <c r="C122" s="20"/>
      <c r="D122" s="20"/>
      <c r="E122" s="20"/>
      <c r="F122" s="20"/>
      <c r="G122" s="3"/>
      <c r="H122" s="38"/>
      <c r="I122" s="38"/>
      <c r="J122" s="38"/>
      <c r="K122" s="38"/>
      <c r="L122" s="3"/>
      <c r="M122" s="38"/>
      <c r="N122" s="38"/>
      <c r="O122" s="38"/>
      <c r="P122" s="38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</row>
    <row r="123" spans="2:74" x14ac:dyDescent="0.25">
      <c r="B123" s="1"/>
      <c r="C123" s="20"/>
      <c r="D123" s="20"/>
      <c r="E123" s="20"/>
      <c r="F123" s="20"/>
      <c r="G123" s="3"/>
      <c r="H123" s="38"/>
      <c r="I123" s="38"/>
      <c r="J123" s="38"/>
      <c r="K123" s="38"/>
      <c r="L123" s="3"/>
      <c r="M123" s="38"/>
      <c r="N123" s="38"/>
      <c r="O123" s="38"/>
      <c r="P123" s="38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</row>
    <row r="124" spans="2:74" x14ac:dyDescent="0.25">
      <c r="B124" s="1"/>
      <c r="C124" s="20"/>
      <c r="D124" s="156"/>
      <c r="E124" s="156"/>
      <c r="F124" s="156"/>
      <c r="G124" s="3"/>
      <c r="H124" s="20"/>
      <c r="I124" s="156"/>
      <c r="J124" s="156"/>
      <c r="K124" s="156"/>
      <c r="L124" s="3"/>
      <c r="M124" s="20"/>
      <c r="N124" s="156"/>
      <c r="O124" s="156"/>
      <c r="P124" s="156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</row>
    <row r="125" spans="2:74" x14ac:dyDescent="0.25">
      <c r="B125" s="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</row>
    <row r="126" spans="2:74" x14ac:dyDescent="0.25">
      <c r="B126" s="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</row>
    <row r="127" spans="2:74" x14ac:dyDescent="0.25">
      <c r="B127" s="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</row>
    <row r="128" spans="2:74" x14ac:dyDescent="0.25">
      <c r="B128" s="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</row>
    <row r="129" spans="2:74" x14ac:dyDescent="0.25">
      <c r="B129" s="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</row>
    <row r="130" spans="2:74" x14ac:dyDescent="0.25">
      <c r="B130" s="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</row>
    <row r="131" spans="2:74" x14ac:dyDescent="0.25">
      <c r="B131" s="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</row>
    <row r="132" spans="2:74" x14ac:dyDescent="0.25">
      <c r="B132" s="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</row>
    <row r="133" spans="2:74" x14ac:dyDescent="0.25">
      <c r="B133" s="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</row>
    <row r="134" spans="2:74" x14ac:dyDescent="0.25">
      <c r="B134" s="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</row>
    <row r="135" spans="2:74" x14ac:dyDescent="0.25">
      <c r="B135" s="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</row>
    <row r="136" spans="2:74" x14ac:dyDescent="0.25">
      <c r="B136" s="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</row>
    <row r="137" spans="2:74" x14ac:dyDescent="0.25">
      <c r="B137" s="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</row>
    <row r="138" spans="2:74" x14ac:dyDescent="0.25">
      <c r="B138" s="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</row>
    <row r="139" spans="2:74" x14ac:dyDescent="0.25">
      <c r="B139" s="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</row>
    <row r="140" spans="2:74" x14ac:dyDescent="0.25">
      <c r="B140" s="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</row>
    <row r="141" spans="2:74" x14ac:dyDescent="0.25">
      <c r="B141" s="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</row>
    <row r="142" spans="2:74" x14ac:dyDescent="0.25">
      <c r="B142" s="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</row>
    <row r="143" spans="2:74" x14ac:dyDescent="0.25">
      <c r="B143" s="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</row>
    <row r="144" spans="2:74" x14ac:dyDescent="0.25">
      <c r="B144" s="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</row>
    <row r="145" spans="2:74" x14ac:dyDescent="0.25">
      <c r="B145" s="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</row>
    <row r="146" spans="2:74" x14ac:dyDescent="0.25">
      <c r="B146" s="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</row>
    <row r="147" spans="2:74" x14ac:dyDescent="0.25">
      <c r="B147" s="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</row>
    <row r="148" spans="2:74" x14ac:dyDescent="0.25">
      <c r="B148" s="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</row>
    <row r="149" spans="2:74" x14ac:dyDescent="0.25">
      <c r="B149" s="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</row>
    <row r="150" spans="2:74" x14ac:dyDescent="0.25">
      <c r="B150" s="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</row>
    <row r="151" spans="2:74" x14ac:dyDescent="0.25">
      <c r="B151" s="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</row>
    <row r="152" spans="2:74" x14ac:dyDescent="0.25">
      <c r="B152" s="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</row>
    <row r="153" spans="2:74" x14ac:dyDescent="0.25">
      <c r="B153" s="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</row>
    <row r="154" spans="2:74" x14ac:dyDescent="0.25">
      <c r="B154" s="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</row>
    <row r="155" spans="2:74" x14ac:dyDescent="0.25">
      <c r="B155" s="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</row>
    <row r="156" spans="2:74" x14ac:dyDescent="0.25">
      <c r="B156" s="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</row>
    <row r="157" spans="2:74" x14ac:dyDescent="0.25">
      <c r="B157" s="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</row>
    <row r="158" spans="2:74" x14ac:dyDescent="0.25">
      <c r="B158" s="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</row>
    <row r="159" spans="2:74" x14ac:dyDescent="0.25">
      <c r="B159" s="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</row>
    <row r="160" spans="2:74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</row>
    <row r="161" spans="2:74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</row>
    <row r="162" spans="2:74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</row>
  </sheetData>
  <mergeCells count="86">
    <mergeCell ref="D124:F124"/>
    <mergeCell ref="I124:K124"/>
    <mergeCell ref="N124:P124"/>
    <mergeCell ref="C106:F106"/>
    <mergeCell ref="H106:K106"/>
    <mergeCell ref="M106:P106"/>
    <mergeCell ref="D107:F107"/>
    <mergeCell ref="I107:K107"/>
    <mergeCell ref="N107:P107"/>
    <mergeCell ref="D87:F87"/>
    <mergeCell ref="I87:K87"/>
    <mergeCell ref="N87:P87"/>
    <mergeCell ref="D104:F104"/>
    <mergeCell ref="I104:K104"/>
    <mergeCell ref="N104:P104"/>
    <mergeCell ref="D84:F84"/>
    <mergeCell ref="I84:K84"/>
    <mergeCell ref="N84:P84"/>
    <mergeCell ref="C86:F86"/>
    <mergeCell ref="H86:K86"/>
    <mergeCell ref="M86:P86"/>
    <mergeCell ref="AD44:AF44"/>
    <mergeCell ref="AJ44:AL44"/>
    <mergeCell ref="AO44:AQ44"/>
    <mergeCell ref="AT44:AV44"/>
    <mergeCell ref="D67:F67"/>
    <mergeCell ref="I67:K67"/>
    <mergeCell ref="N67:P67"/>
    <mergeCell ref="D44:F44"/>
    <mergeCell ref="I44:K44"/>
    <mergeCell ref="N44:P44"/>
    <mergeCell ref="T44:V44"/>
    <mergeCell ref="Y44:AA44"/>
    <mergeCell ref="AO42:AQ42"/>
    <mergeCell ref="AT42:AV42"/>
    <mergeCell ref="D43:F43"/>
    <mergeCell ref="I43:K43"/>
    <mergeCell ref="N43:P43"/>
    <mergeCell ref="T43:V43"/>
    <mergeCell ref="Y43:AA43"/>
    <mergeCell ref="AO43:AQ43"/>
    <mergeCell ref="AT43:AV43"/>
    <mergeCell ref="AJ25:AL25"/>
    <mergeCell ref="AO25:AQ25"/>
    <mergeCell ref="AT25:AV25"/>
    <mergeCell ref="D42:F42"/>
    <mergeCell ref="I42:K42"/>
    <mergeCell ref="N42:P42"/>
    <mergeCell ref="T42:V42"/>
    <mergeCell ref="Y42:AA42"/>
    <mergeCell ref="AD42:AF42"/>
    <mergeCell ref="AJ42:AL42"/>
    <mergeCell ref="D25:F25"/>
    <mergeCell ref="I25:K25"/>
    <mergeCell ref="N25:P25"/>
    <mergeCell ref="T25:V25"/>
    <mergeCell ref="Y25:AA25"/>
    <mergeCell ref="AD25:AF25"/>
    <mergeCell ref="AS24:AV24"/>
    <mergeCell ref="D22:F22"/>
    <mergeCell ref="I22:K22"/>
    <mergeCell ref="N22:P22"/>
    <mergeCell ref="C24:F24"/>
    <mergeCell ref="H24:K24"/>
    <mergeCell ref="M24:P24"/>
    <mergeCell ref="S24:V24"/>
    <mergeCell ref="X24:AA24"/>
    <mergeCell ref="AC24:AF24"/>
    <mergeCell ref="AI24:AL24"/>
    <mergeCell ref="AN24:AQ24"/>
    <mergeCell ref="D20:F20"/>
    <mergeCell ref="I20:K20"/>
    <mergeCell ref="N20:P20"/>
    <mergeCell ref="D21:F21"/>
    <mergeCell ref="I21:K21"/>
    <mergeCell ref="N21:P21"/>
    <mergeCell ref="AL2:AP2"/>
    <mergeCell ref="D3:F3"/>
    <mergeCell ref="I3:K3"/>
    <mergeCell ref="N3:P3"/>
    <mergeCell ref="S2:V2"/>
    <mergeCell ref="Y2:AB2"/>
    <mergeCell ref="C2:F2"/>
    <mergeCell ref="H2:K2"/>
    <mergeCell ref="M2:P2"/>
    <mergeCell ref="R2:R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70"/>
  <sheetViews>
    <sheetView zoomScaleNormal="100" workbookViewId="0">
      <selection activeCell="L10" sqref="L10"/>
    </sheetView>
  </sheetViews>
  <sheetFormatPr defaultRowHeight="15" x14ac:dyDescent="0.25"/>
  <cols>
    <col min="1" max="11" width="9.7109375" customWidth="1"/>
    <col min="12" max="12" width="13" customWidth="1"/>
    <col min="13" max="13" width="9.7109375" customWidth="1"/>
    <col min="14" max="17" width="9.7109375" style="50" customWidth="1"/>
    <col min="18" max="18" width="13" style="50" customWidth="1"/>
    <col min="19" max="36" width="9.7109375" customWidth="1"/>
    <col min="37" max="43" width="8.7109375" customWidth="1"/>
  </cols>
  <sheetData>
    <row r="1" spans="1:68" x14ac:dyDescent="0.25">
      <c r="A1" t="s">
        <v>69</v>
      </c>
    </row>
    <row r="2" spans="1:68" ht="15.75" customHeight="1" x14ac:dyDescent="0.25">
      <c r="B2" s="1"/>
      <c r="C2" s="160" t="s">
        <v>23</v>
      </c>
      <c r="D2" s="160"/>
      <c r="E2" s="2"/>
      <c r="F2" s="160" t="s">
        <v>24</v>
      </c>
      <c r="G2" s="160"/>
      <c r="H2" s="2"/>
      <c r="I2" s="160" t="s">
        <v>25</v>
      </c>
      <c r="J2" s="160"/>
      <c r="K2" s="3"/>
      <c r="L2" s="161" t="s">
        <v>17</v>
      </c>
      <c r="M2" s="158" t="s">
        <v>22</v>
      </c>
      <c r="N2" s="159"/>
      <c r="O2" s="159"/>
      <c r="P2" s="159"/>
      <c r="Q2" s="24"/>
      <c r="R2" s="161" t="s">
        <v>18</v>
      </c>
      <c r="S2" s="158" t="s">
        <v>22</v>
      </c>
      <c r="T2" s="159"/>
      <c r="U2" s="159"/>
      <c r="V2" s="159"/>
      <c r="W2" s="2"/>
      <c r="X2" s="3"/>
      <c r="AD2" s="3"/>
      <c r="AE2" s="3"/>
      <c r="AF2" s="156"/>
      <c r="AG2" s="156"/>
      <c r="AH2" s="156"/>
      <c r="AI2" s="156"/>
      <c r="AJ2" s="156"/>
      <c r="AK2" s="3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30" x14ac:dyDescent="0.25">
      <c r="B3" s="1"/>
      <c r="C3" s="4" t="s">
        <v>19</v>
      </c>
      <c r="D3" s="31" t="s">
        <v>20</v>
      </c>
      <c r="E3" s="5"/>
      <c r="F3" s="4" t="s">
        <v>19</v>
      </c>
      <c r="G3" s="31" t="s">
        <v>20</v>
      </c>
      <c r="H3" s="5"/>
      <c r="I3" s="4" t="s">
        <v>19</v>
      </c>
      <c r="J3" s="31" t="s">
        <v>20</v>
      </c>
      <c r="K3" s="3"/>
      <c r="L3" s="162"/>
      <c r="M3" s="66" t="s">
        <v>0</v>
      </c>
      <c r="N3" s="67" t="s">
        <v>1</v>
      </c>
      <c r="O3" s="67" t="s">
        <v>2</v>
      </c>
      <c r="P3" s="67" t="s">
        <v>21</v>
      </c>
      <c r="Q3" s="11"/>
      <c r="R3" s="162"/>
      <c r="S3" s="66" t="s">
        <v>0</v>
      </c>
      <c r="T3" s="67" t="s">
        <v>1</v>
      </c>
      <c r="U3" s="67" t="s">
        <v>2</v>
      </c>
      <c r="V3" s="67" t="s">
        <v>21</v>
      </c>
      <c r="W3" s="12"/>
      <c r="X3" s="3"/>
      <c r="AD3" s="12"/>
      <c r="AE3" s="12"/>
      <c r="AF3" s="12"/>
      <c r="AG3" s="12"/>
      <c r="AH3" s="12"/>
      <c r="AI3" s="12"/>
      <c r="AJ3" s="12"/>
      <c r="AK3" s="3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30.75" customHeight="1" x14ac:dyDescent="0.25">
      <c r="B4" s="1"/>
      <c r="C4" s="6">
        <v>23</v>
      </c>
      <c r="D4" s="5">
        <v>17</v>
      </c>
      <c r="E4" s="5"/>
      <c r="F4" s="6">
        <v>12</v>
      </c>
      <c r="G4" s="5">
        <v>11</v>
      </c>
      <c r="H4" s="5"/>
      <c r="I4" s="6">
        <v>24</v>
      </c>
      <c r="J4" s="5">
        <v>23</v>
      </c>
      <c r="K4" s="3"/>
      <c r="L4" s="65" t="s">
        <v>4</v>
      </c>
      <c r="M4" s="10">
        <f>C24</f>
        <v>16.789473684210527</v>
      </c>
      <c r="N4" s="10">
        <f>F24</f>
        <v>12.105263157894736</v>
      </c>
      <c r="O4" s="10">
        <f>I24</f>
        <v>18.05</v>
      </c>
      <c r="P4" s="10">
        <f>AVERAGE(M4:O4)</f>
        <v>15.648245614035089</v>
      </c>
      <c r="Q4" s="10"/>
      <c r="R4" s="65" t="s">
        <v>4</v>
      </c>
      <c r="S4" s="10">
        <f>D24</f>
        <v>18.157894736842106</v>
      </c>
      <c r="T4" s="10">
        <f>G24</f>
        <v>10</v>
      </c>
      <c r="U4" s="10">
        <f>J24</f>
        <v>15.9</v>
      </c>
      <c r="V4" s="10">
        <f>AVERAGE(S4:U4)</f>
        <v>14.685964912280703</v>
      </c>
      <c r="W4" s="49"/>
      <c r="X4" s="1"/>
      <c r="AD4" s="7"/>
      <c r="AE4" s="7"/>
      <c r="AF4" s="171"/>
      <c r="AG4" s="171"/>
      <c r="AH4" s="171"/>
      <c r="AI4" s="171"/>
      <c r="AJ4" s="171"/>
      <c r="AK4" s="3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30.75" customHeight="1" x14ac:dyDescent="0.25">
      <c r="B5" s="1"/>
      <c r="C5" s="6">
        <v>16</v>
      </c>
      <c r="D5" s="5">
        <v>14</v>
      </c>
      <c r="E5" s="5"/>
      <c r="F5" s="6">
        <v>25</v>
      </c>
      <c r="G5" s="5">
        <v>15</v>
      </c>
      <c r="H5" s="5"/>
      <c r="I5" s="6">
        <v>20</v>
      </c>
      <c r="J5" s="5">
        <v>12</v>
      </c>
      <c r="K5" s="3"/>
      <c r="L5" s="65" t="s">
        <v>5</v>
      </c>
      <c r="M5" s="10">
        <f>C50</f>
        <v>14.388888888888889</v>
      </c>
      <c r="N5" s="10">
        <f>F50</f>
        <v>15.277777777777779</v>
      </c>
      <c r="O5" s="10">
        <f>I50</f>
        <v>16.111111111111111</v>
      </c>
      <c r="P5" s="10">
        <f t="shared" ref="P5:P6" si="0">AVERAGE(M5:O5)</f>
        <v>15.25925925925926</v>
      </c>
      <c r="Q5" s="10"/>
      <c r="R5" s="65" t="s">
        <v>5</v>
      </c>
      <c r="S5" s="10">
        <f>D50</f>
        <v>11.277777777777779</v>
      </c>
      <c r="T5" s="10">
        <f>G50</f>
        <v>11.526315789473685</v>
      </c>
      <c r="U5" s="10">
        <f>J50</f>
        <v>11.944444444444445</v>
      </c>
      <c r="V5" s="10">
        <f t="shared" ref="V5:V7" si="1">AVERAGE(S5:U5)</f>
        <v>11.582846003898636</v>
      </c>
      <c r="W5" s="8"/>
      <c r="X5" s="1"/>
      <c r="AD5" s="7"/>
      <c r="AE5" s="7"/>
      <c r="AF5" s="8"/>
      <c r="AG5" s="8"/>
      <c r="AH5" s="8"/>
      <c r="AI5" s="8"/>
      <c r="AJ5" s="8"/>
      <c r="AK5" s="3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30.75" customHeight="1" x14ac:dyDescent="0.25">
      <c r="B6" s="1"/>
      <c r="C6" s="6">
        <v>26</v>
      </c>
      <c r="D6" s="5">
        <v>24</v>
      </c>
      <c r="E6" s="5"/>
      <c r="F6" s="6">
        <v>12</v>
      </c>
      <c r="G6" s="5">
        <v>6</v>
      </c>
      <c r="H6" s="5"/>
      <c r="I6" s="6">
        <v>11</v>
      </c>
      <c r="J6" s="5">
        <v>21</v>
      </c>
      <c r="K6" s="3"/>
      <c r="L6" s="65" t="s">
        <v>6</v>
      </c>
      <c r="M6" s="10">
        <f>M50</f>
        <v>14.894736842105264</v>
      </c>
      <c r="N6" s="10">
        <f>P50</f>
        <v>12.15</v>
      </c>
      <c r="O6" s="10">
        <f>S50</f>
        <v>13.9</v>
      </c>
      <c r="P6" s="10">
        <f t="shared" si="0"/>
        <v>13.648245614035089</v>
      </c>
      <c r="Q6" s="10"/>
      <c r="R6" s="65" t="s">
        <v>6</v>
      </c>
      <c r="S6" s="10">
        <f>N50</f>
        <v>12.947368421052632</v>
      </c>
      <c r="T6" s="10">
        <f>Q50</f>
        <v>10.8</v>
      </c>
      <c r="U6" s="10">
        <f>T50</f>
        <v>12.7</v>
      </c>
      <c r="V6" s="10">
        <f t="shared" si="1"/>
        <v>12.149122807017543</v>
      </c>
      <c r="W6" s="8"/>
      <c r="X6" s="1"/>
      <c r="AD6" s="7"/>
      <c r="AE6" s="7"/>
      <c r="AF6" s="8"/>
      <c r="AG6" s="8"/>
      <c r="AH6" s="8"/>
      <c r="AI6" s="8"/>
      <c r="AJ6" s="8"/>
      <c r="AK6" s="3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1:68" ht="30.75" customHeight="1" x14ac:dyDescent="0.25">
      <c r="B7" s="1"/>
      <c r="C7" s="6">
        <v>15</v>
      </c>
      <c r="D7" s="5">
        <v>30</v>
      </c>
      <c r="E7" s="5"/>
      <c r="F7" s="6">
        <v>22</v>
      </c>
      <c r="G7" s="5">
        <v>23</v>
      </c>
      <c r="H7" s="5"/>
      <c r="I7" s="6">
        <v>19</v>
      </c>
      <c r="J7" s="5">
        <v>30</v>
      </c>
      <c r="K7" s="3"/>
      <c r="L7" s="65" t="s">
        <v>7</v>
      </c>
      <c r="M7" s="10">
        <f>W50</f>
        <v>13.8</v>
      </c>
      <c r="N7" s="10">
        <f>Z50</f>
        <v>14.25</v>
      </c>
      <c r="O7" s="10">
        <f>AC50</f>
        <v>13.842105263157896</v>
      </c>
      <c r="P7" s="10">
        <f>AVERAGE(M7:O7)</f>
        <v>13.964035087719298</v>
      </c>
      <c r="Q7" s="10"/>
      <c r="R7" s="65" t="s">
        <v>7</v>
      </c>
      <c r="S7" s="10">
        <f>X50</f>
        <v>13.1</v>
      </c>
      <c r="T7" s="10">
        <f>AA50</f>
        <v>14.75</v>
      </c>
      <c r="U7" s="10">
        <f>AD50</f>
        <v>11.105263157894736</v>
      </c>
      <c r="V7" s="10">
        <f t="shared" si="1"/>
        <v>12.985087719298244</v>
      </c>
      <c r="W7" s="8"/>
      <c r="X7" s="1"/>
      <c r="AD7" s="7"/>
      <c r="AE7" s="7"/>
      <c r="AF7" s="8"/>
      <c r="AG7" s="8"/>
      <c r="AH7" s="8"/>
      <c r="AI7" s="8"/>
      <c r="AJ7" s="8"/>
      <c r="AK7" s="3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1:68" x14ac:dyDescent="0.25">
      <c r="B8" s="1"/>
      <c r="C8" s="6">
        <v>15</v>
      </c>
      <c r="D8" s="5">
        <v>23</v>
      </c>
      <c r="E8" s="5"/>
      <c r="F8" s="6">
        <v>22</v>
      </c>
      <c r="G8" s="5">
        <v>17</v>
      </c>
      <c r="H8" s="5"/>
      <c r="I8" s="6">
        <v>18</v>
      </c>
      <c r="J8" s="5">
        <v>16</v>
      </c>
      <c r="K8" s="3"/>
      <c r="Q8" s="23"/>
      <c r="R8" s="23"/>
      <c r="S8" s="1"/>
      <c r="T8" s="1"/>
      <c r="U8" s="1"/>
      <c r="V8" s="1"/>
      <c r="W8" s="1"/>
      <c r="X8" s="1"/>
      <c r="AD8" s="1"/>
      <c r="AE8" s="1"/>
      <c r="AF8" s="1"/>
      <c r="AG8" s="1"/>
      <c r="AH8" s="1"/>
      <c r="AI8" s="1"/>
      <c r="AJ8" s="1"/>
      <c r="AK8" s="3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1:68" x14ac:dyDescent="0.25">
      <c r="B9" s="1"/>
      <c r="C9" s="6">
        <v>15</v>
      </c>
      <c r="D9" s="5">
        <v>11</v>
      </c>
      <c r="E9" s="5"/>
      <c r="F9" s="6">
        <v>10</v>
      </c>
      <c r="G9" s="5">
        <v>7</v>
      </c>
      <c r="H9" s="5"/>
      <c r="I9" s="6">
        <v>5</v>
      </c>
      <c r="J9" s="5">
        <v>10</v>
      </c>
      <c r="K9" s="3"/>
      <c r="L9" s="30" t="s">
        <v>87</v>
      </c>
      <c r="M9" s="8"/>
      <c r="N9" s="35"/>
      <c r="O9" s="35"/>
      <c r="P9" s="62"/>
      <c r="Q9" s="49"/>
      <c r="R9" s="49"/>
      <c r="S9" s="8"/>
      <c r="T9" s="8"/>
      <c r="U9" s="8"/>
      <c r="V9" s="8"/>
      <c r="W9" s="8"/>
      <c r="X9" s="1"/>
      <c r="Y9" s="2"/>
      <c r="Z9" s="8"/>
      <c r="AA9" s="8"/>
      <c r="AB9" s="8"/>
      <c r="AC9" s="7"/>
      <c r="AD9" s="7"/>
      <c r="AE9" s="7"/>
      <c r="AF9" s="8"/>
      <c r="AG9" s="8"/>
      <c r="AH9" s="8"/>
      <c r="AI9" s="8"/>
      <c r="AJ9" s="8"/>
      <c r="AK9" s="3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1:68" x14ac:dyDescent="0.25">
      <c r="B10" s="1"/>
      <c r="C10" s="6">
        <v>22</v>
      </c>
      <c r="D10" s="5">
        <v>18</v>
      </c>
      <c r="E10" s="5"/>
      <c r="F10" s="6">
        <v>11</v>
      </c>
      <c r="G10" s="5">
        <v>16</v>
      </c>
      <c r="H10" s="5"/>
      <c r="I10" s="6">
        <v>22</v>
      </c>
      <c r="J10" s="5">
        <v>26</v>
      </c>
      <c r="K10" s="3"/>
      <c r="L10" t="s">
        <v>88</v>
      </c>
      <c r="M10" s="2"/>
      <c r="N10" s="51"/>
      <c r="O10" s="2"/>
      <c r="P10" s="12"/>
      <c r="Q10" s="2"/>
      <c r="R10" s="52"/>
      <c r="S10" s="13"/>
      <c r="T10" s="53"/>
      <c r="U10" s="13"/>
      <c r="V10" s="13"/>
      <c r="W10" s="13"/>
      <c r="X10" s="1"/>
      <c r="Y10" s="1"/>
      <c r="Z10" s="1"/>
      <c r="AA10" s="1"/>
      <c r="AB10" s="1"/>
      <c r="AC10" s="3"/>
      <c r="AD10" s="3"/>
      <c r="AE10" s="3"/>
      <c r="AF10" s="3"/>
      <c r="AG10" s="3"/>
      <c r="AH10" s="3"/>
      <c r="AI10" s="3"/>
      <c r="AJ10" s="3"/>
      <c r="AK10" s="3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1:68" ht="15" customHeight="1" x14ac:dyDescent="0.25">
      <c r="B11" s="1"/>
      <c r="C11" s="6">
        <v>17</v>
      </c>
      <c r="D11" s="5">
        <v>22</v>
      </c>
      <c r="E11" s="5"/>
      <c r="F11" s="6">
        <v>18</v>
      </c>
      <c r="G11" s="5">
        <v>11</v>
      </c>
      <c r="H11" s="5"/>
      <c r="I11" s="6">
        <v>19</v>
      </c>
      <c r="J11" s="5">
        <v>7</v>
      </c>
      <c r="K11" s="3"/>
      <c r="M11" s="2"/>
      <c r="N11" s="51"/>
      <c r="O11" s="2"/>
      <c r="P11" s="2"/>
      <c r="Q11" s="2"/>
      <c r="R11" s="51"/>
      <c r="S11" s="17"/>
      <c r="T11" s="53"/>
      <c r="U11" s="17"/>
      <c r="V11" s="17"/>
      <c r="W11" s="17"/>
      <c r="X11" s="1"/>
      <c r="Y11" s="1"/>
      <c r="Z11" s="1"/>
      <c r="AA11" s="1"/>
      <c r="AB11" s="1"/>
      <c r="AC11" s="3"/>
      <c r="AD11" s="3"/>
      <c r="AE11" s="3"/>
      <c r="AF11" s="3"/>
      <c r="AG11" s="3"/>
      <c r="AH11" s="3"/>
      <c r="AI11" s="3"/>
      <c r="AJ11" s="3"/>
      <c r="AK11" s="3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1:68" ht="15" customHeight="1" x14ac:dyDescent="0.25">
      <c r="B12" s="1"/>
      <c r="C12" s="6">
        <v>19</v>
      </c>
      <c r="D12" s="5">
        <v>20</v>
      </c>
      <c r="E12" s="5"/>
      <c r="F12" s="6">
        <v>22</v>
      </c>
      <c r="G12" s="5">
        <v>24</v>
      </c>
      <c r="H12" s="5"/>
      <c r="I12" s="6">
        <v>17</v>
      </c>
      <c r="J12" s="5">
        <v>19</v>
      </c>
      <c r="K12" s="3"/>
      <c r="L12" s="18"/>
      <c r="M12" s="2"/>
      <c r="N12" s="51"/>
      <c r="O12" s="9"/>
      <c r="P12" s="9"/>
      <c r="Q12" s="2"/>
      <c r="R12" s="51"/>
      <c r="S12" s="18"/>
      <c r="T12" s="36"/>
      <c r="W12" s="18"/>
      <c r="X12" s="18"/>
      <c r="Y12" s="18"/>
      <c r="Z12" s="18"/>
      <c r="AA12" s="20"/>
      <c r="AB12" s="20"/>
      <c r="AC12" s="3"/>
      <c r="AD12" s="3"/>
      <c r="AE12" s="3"/>
      <c r="AF12" s="3"/>
      <c r="AG12" s="3"/>
      <c r="AH12" s="3"/>
      <c r="AI12" s="3"/>
      <c r="AJ12" s="3"/>
      <c r="AK12" s="3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1:68" ht="15" customHeight="1" x14ac:dyDescent="0.25">
      <c r="B13" s="1"/>
      <c r="C13" s="6">
        <v>14</v>
      </c>
      <c r="D13" s="5">
        <v>1</v>
      </c>
      <c r="E13" s="5"/>
      <c r="F13" s="6">
        <v>9</v>
      </c>
      <c r="G13" s="5">
        <v>7</v>
      </c>
      <c r="H13" s="5"/>
      <c r="I13" s="6">
        <v>17</v>
      </c>
      <c r="J13" s="5">
        <v>15</v>
      </c>
      <c r="K13" s="3"/>
      <c r="L13" s="18"/>
      <c r="M13" s="21"/>
      <c r="N13" s="51"/>
      <c r="O13" s="11"/>
      <c r="P13" s="24"/>
      <c r="Q13" s="21"/>
      <c r="R13" s="51"/>
      <c r="T13" s="54"/>
      <c r="W13" s="18"/>
      <c r="X13" s="18"/>
      <c r="Y13" s="18"/>
      <c r="Z13" s="20"/>
      <c r="AA13" s="20"/>
      <c r="AB13" s="3"/>
      <c r="AC13" s="3"/>
      <c r="AD13" s="3"/>
      <c r="AE13" s="3"/>
      <c r="AF13" s="3"/>
      <c r="AG13" s="3"/>
      <c r="AH13" s="3"/>
      <c r="AI13" s="3"/>
      <c r="AJ13" s="3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</row>
    <row r="14" spans="1:68" s="50" customFormat="1" ht="15" customHeight="1" x14ac:dyDescent="0.25">
      <c r="B14" s="23"/>
      <c r="C14" s="6">
        <v>26</v>
      </c>
      <c r="D14" s="5">
        <v>27</v>
      </c>
      <c r="E14" s="5"/>
      <c r="F14" s="6">
        <v>18</v>
      </c>
      <c r="G14" s="5">
        <v>16</v>
      </c>
      <c r="H14" s="5"/>
      <c r="I14" s="6">
        <v>24</v>
      </c>
      <c r="J14" s="5">
        <v>18</v>
      </c>
      <c r="K14" s="2"/>
      <c r="L14" s="23"/>
      <c r="M14" s="21"/>
      <c r="N14" s="55"/>
      <c r="O14" s="15"/>
      <c r="P14" s="15"/>
      <c r="Q14" s="21"/>
      <c r="R14" s="55"/>
      <c r="T14" s="56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</row>
    <row r="15" spans="1:68" s="50" customFormat="1" ht="15" customHeight="1" x14ac:dyDescent="0.25">
      <c r="B15" s="23"/>
      <c r="C15" s="6">
        <v>11</v>
      </c>
      <c r="D15" s="5">
        <v>22</v>
      </c>
      <c r="E15" s="5"/>
      <c r="F15" s="6">
        <v>10</v>
      </c>
      <c r="G15" s="5">
        <v>19</v>
      </c>
      <c r="H15" s="5"/>
      <c r="I15" s="6">
        <v>17</v>
      </c>
      <c r="J15" s="5">
        <v>18</v>
      </c>
      <c r="K15" s="2"/>
      <c r="L15" s="23"/>
      <c r="M15" s="21"/>
      <c r="N15" s="55"/>
      <c r="O15" s="15"/>
      <c r="P15" s="15"/>
      <c r="Q15" s="21"/>
      <c r="R15" s="55"/>
      <c r="T15" s="56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</row>
    <row r="16" spans="1:68" ht="15" customHeight="1" x14ac:dyDescent="0.25">
      <c r="B16" s="1"/>
      <c r="C16" s="6">
        <v>5</v>
      </c>
      <c r="D16" s="5">
        <v>15</v>
      </c>
      <c r="E16" s="5"/>
      <c r="F16" s="6">
        <v>9</v>
      </c>
      <c r="G16" s="5">
        <v>11</v>
      </c>
      <c r="H16" s="5"/>
      <c r="I16" s="6">
        <v>25</v>
      </c>
      <c r="J16" s="5">
        <v>20</v>
      </c>
      <c r="K16" s="3"/>
      <c r="L16" s="1"/>
      <c r="M16" s="29"/>
      <c r="N16" s="55"/>
      <c r="O16" s="23"/>
      <c r="P16" s="23"/>
      <c r="Q16" s="29"/>
      <c r="R16" s="57"/>
      <c r="T16" s="58"/>
      <c r="U16" s="1"/>
      <c r="V16" s="1"/>
      <c r="W16" s="1"/>
      <c r="X16" s="20"/>
      <c r="Y16" s="20"/>
      <c r="Z16" s="20"/>
      <c r="AA16" s="20"/>
      <c r="AB16" s="20"/>
      <c r="AC16" s="3"/>
      <c r="AD16" s="3"/>
      <c r="AE16" s="3"/>
      <c r="AF16" s="3"/>
      <c r="AG16" s="3"/>
      <c r="AH16" s="3"/>
      <c r="AI16" s="3"/>
      <c r="AJ16" s="3"/>
      <c r="AK16" s="3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</row>
    <row r="17" spans="2:68" ht="15" customHeight="1" x14ac:dyDescent="0.25">
      <c r="B17" s="1"/>
      <c r="C17" s="6">
        <v>12</v>
      </c>
      <c r="D17" s="5">
        <v>7</v>
      </c>
      <c r="E17" s="5"/>
      <c r="F17" s="6">
        <v>10</v>
      </c>
      <c r="G17" s="5">
        <v>2</v>
      </c>
      <c r="H17" s="5"/>
      <c r="I17" s="6">
        <v>17</v>
      </c>
      <c r="J17" s="5">
        <v>15</v>
      </c>
      <c r="K17" s="3"/>
      <c r="L17" s="30"/>
      <c r="M17" s="29"/>
      <c r="N17" s="55"/>
      <c r="O17" s="22"/>
      <c r="P17" s="23"/>
      <c r="Q17" s="29"/>
      <c r="R17" s="57"/>
      <c r="T17" s="54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</row>
    <row r="18" spans="2:68" ht="15" customHeight="1" x14ac:dyDescent="0.25">
      <c r="B18" s="1"/>
      <c r="C18" s="6">
        <v>10</v>
      </c>
      <c r="D18" s="5">
        <v>10</v>
      </c>
      <c r="E18" s="5"/>
      <c r="F18" s="6">
        <v>3</v>
      </c>
      <c r="G18" s="5">
        <v>1</v>
      </c>
      <c r="H18" s="5"/>
      <c r="I18" s="6">
        <v>17</v>
      </c>
      <c r="J18" s="5">
        <v>15</v>
      </c>
      <c r="K18" s="3"/>
      <c r="L18" s="30"/>
      <c r="M18" s="29"/>
      <c r="N18" s="55"/>
      <c r="O18" s="28"/>
      <c r="P18" s="28"/>
      <c r="Q18" s="29"/>
      <c r="R18" s="57"/>
      <c r="T18" s="54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</row>
    <row r="19" spans="2:68" ht="15" customHeight="1" x14ac:dyDescent="0.25">
      <c r="B19" s="1"/>
      <c r="C19" s="6">
        <v>15</v>
      </c>
      <c r="D19" s="5">
        <v>27</v>
      </c>
      <c r="E19" s="5"/>
      <c r="F19" s="6">
        <v>11</v>
      </c>
      <c r="G19" s="5">
        <v>1</v>
      </c>
      <c r="H19" s="5"/>
      <c r="I19" s="6">
        <v>22</v>
      </c>
      <c r="J19" s="5">
        <v>14</v>
      </c>
      <c r="K19" s="3"/>
      <c r="L19" s="30"/>
      <c r="M19" s="21"/>
      <c r="N19" s="51"/>
      <c r="O19" s="11"/>
      <c r="P19" s="11"/>
      <c r="Q19" s="21"/>
      <c r="R19" s="57"/>
      <c r="T19" s="54"/>
      <c r="X19" s="1"/>
      <c r="Y19" s="1"/>
      <c r="Z19" s="1"/>
      <c r="AA19" s="1"/>
      <c r="AB19" s="1"/>
      <c r="AC19" s="3"/>
      <c r="AD19" s="3"/>
      <c r="AE19" s="3"/>
      <c r="AF19" s="3"/>
      <c r="AG19" s="3"/>
      <c r="AH19" s="3"/>
      <c r="AI19" s="3"/>
      <c r="AJ19" s="3"/>
      <c r="AK19" s="3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</row>
    <row r="20" spans="2:68" ht="15" customHeight="1" x14ac:dyDescent="0.25">
      <c r="B20" s="1"/>
      <c r="C20" s="6">
        <v>10</v>
      </c>
      <c r="D20" s="5">
        <v>11</v>
      </c>
      <c r="E20" s="5"/>
      <c r="F20" s="6">
        <v>3</v>
      </c>
      <c r="G20" s="5">
        <v>1</v>
      </c>
      <c r="H20" s="5"/>
      <c r="I20" s="6">
        <v>40</v>
      </c>
      <c r="J20" s="5">
        <v>12</v>
      </c>
      <c r="K20" s="3"/>
      <c r="L20" s="2"/>
      <c r="M20" s="21"/>
      <c r="N20" s="55"/>
      <c r="O20" s="14"/>
      <c r="P20" s="14"/>
      <c r="Q20" s="21"/>
      <c r="R20" s="57"/>
      <c r="X20" s="1"/>
      <c r="Y20" s="1"/>
      <c r="Z20" s="1"/>
      <c r="AA20" s="1"/>
      <c r="AB20" s="1"/>
      <c r="AC20" s="3"/>
      <c r="AD20" s="3"/>
      <c r="AE20" s="3"/>
      <c r="AF20" s="3"/>
      <c r="AG20" s="3"/>
      <c r="AH20" s="3"/>
      <c r="AI20" s="3"/>
      <c r="AJ20" s="3"/>
      <c r="AK20" s="3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</row>
    <row r="21" spans="2:68" ht="15" customHeight="1" x14ac:dyDescent="0.25">
      <c r="B21" s="1"/>
      <c r="C21" s="6">
        <v>24</v>
      </c>
      <c r="D21" s="5">
        <v>23</v>
      </c>
      <c r="E21" s="5"/>
      <c r="F21" s="6">
        <v>2</v>
      </c>
      <c r="G21" s="5">
        <v>1</v>
      </c>
      <c r="H21" s="5"/>
      <c r="I21" s="6">
        <v>14</v>
      </c>
      <c r="J21" s="5">
        <v>15</v>
      </c>
      <c r="K21" s="3"/>
      <c r="L21" s="2"/>
      <c r="M21" s="21"/>
      <c r="N21" s="55"/>
      <c r="O21" s="14"/>
      <c r="P21" s="14"/>
      <c r="Q21" s="21"/>
      <c r="R21" s="57"/>
      <c r="X21" s="1"/>
      <c r="Y21" s="1"/>
      <c r="Z21" s="1"/>
      <c r="AA21" s="1"/>
      <c r="AB21" s="1"/>
      <c r="AC21" s="3"/>
      <c r="AD21" s="3"/>
      <c r="AE21" s="3"/>
      <c r="AF21" s="3"/>
      <c r="AG21" s="3"/>
      <c r="AH21" s="3"/>
      <c r="AI21" s="3"/>
      <c r="AJ21" s="3"/>
      <c r="AK21" s="3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</row>
    <row r="22" spans="2:68" ht="15" customHeight="1" x14ac:dyDescent="0.25">
      <c r="B22" s="1"/>
      <c r="C22" s="6">
        <v>24</v>
      </c>
      <c r="D22" s="5">
        <v>23</v>
      </c>
      <c r="E22" s="5"/>
      <c r="F22" s="6">
        <v>1</v>
      </c>
      <c r="G22" s="5">
        <v>1</v>
      </c>
      <c r="H22" s="5"/>
      <c r="I22" s="6">
        <v>3</v>
      </c>
      <c r="J22" s="5">
        <v>1</v>
      </c>
      <c r="K22" s="3"/>
      <c r="L22" s="2"/>
      <c r="M22" s="29"/>
      <c r="N22" s="23"/>
      <c r="O22" s="23"/>
      <c r="P22" s="23"/>
      <c r="Q22" s="23"/>
      <c r="R22" s="59"/>
      <c r="X22" s="1"/>
      <c r="Y22" s="1"/>
      <c r="Z22" s="1"/>
      <c r="AA22" s="1"/>
      <c r="AB22" s="1"/>
      <c r="AC22" s="3"/>
      <c r="AD22" s="3"/>
      <c r="AE22" s="3"/>
      <c r="AF22" s="3"/>
      <c r="AG22" s="3"/>
      <c r="AH22" s="3"/>
      <c r="AI22" s="3"/>
      <c r="AJ22" s="3"/>
      <c r="AK22" s="3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</row>
    <row r="23" spans="2:68" ht="15" customHeight="1" x14ac:dyDescent="0.25">
      <c r="B23" s="1"/>
      <c r="C23" s="4">
        <v>0</v>
      </c>
      <c r="D23" s="31">
        <v>0</v>
      </c>
      <c r="E23" s="5"/>
      <c r="F23" s="4">
        <v>0</v>
      </c>
      <c r="G23" s="31">
        <v>0</v>
      </c>
      <c r="H23" s="5"/>
      <c r="I23" s="4">
        <v>10</v>
      </c>
      <c r="J23" s="31">
        <v>11</v>
      </c>
      <c r="K23" s="3"/>
      <c r="L23" s="2"/>
      <c r="M23" s="60"/>
      <c r="N23" s="61"/>
      <c r="O23" s="61"/>
      <c r="P23" s="61"/>
      <c r="Q23" s="61"/>
      <c r="X23" s="1"/>
      <c r="Y23" s="1"/>
      <c r="Z23" s="1"/>
      <c r="AA23" s="1"/>
      <c r="AB23" s="1"/>
      <c r="AC23" s="3"/>
      <c r="AD23" s="3"/>
      <c r="AE23" s="3"/>
      <c r="AF23" s="3"/>
      <c r="AG23" s="3"/>
      <c r="AH23" s="3"/>
      <c r="AI23" s="3"/>
      <c r="AJ23" s="3"/>
      <c r="AK23" s="3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2:68" ht="15" customHeight="1" x14ac:dyDescent="0.25">
      <c r="B24" s="32" t="s">
        <v>21</v>
      </c>
      <c r="C24" s="33">
        <f>AVERAGE(C4:C22)</f>
        <v>16.789473684210527</v>
      </c>
      <c r="D24" s="34">
        <f>AVERAGE(D4:D22)</f>
        <v>18.157894736842106</v>
      </c>
      <c r="E24" s="34"/>
      <c r="F24" s="33">
        <f>AVERAGE(F4:F22)</f>
        <v>12.105263157894736</v>
      </c>
      <c r="G24" s="34">
        <f>AVERAGE(G4:G22)</f>
        <v>10</v>
      </c>
      <c r="H24" s="34"/>
      <c r="I24" s="33">
        <f>AVERAGE(I4:I23)</f>
        <v>18.05</v>
      </c>
      <c r="J24" s="34">
        <f>AVERAGE(J4:J23)</f>
        <v>15.9</v>
      </c>
      <c r="K24" s="3"/>
      <c r="L24" s="1"/>
      <c r="M24" s="2"/>
      <c r="N24" s="2"/>
      <c r="O24" s="2"/>
      <c r="P24" s="12"/>
      <c r="Q24" s="49"/>
      <c r="R24" s="49"/>
      <c r="S24" s="8"/>
      <c r="T24" s="8"/>
      <c r="U24" s="8"/>
      <c r="V24" s="8"/>
      <c r="W24" s="8"/>
      <c r="X24" s="1"/>
      <c r="Y24" s="1"/>
      <c r="Z24" s="1"/>
      <c r="AA24" s="1"/>
      <c r="AB24" s="1"/>
      <c r="AC24" s="3"/>
      <c r="AD24" s="3"/>
      <c r="AE24" s="3"/>
      <c r="AF24" s="3"/>
      <c r="AG24" s="3"/>
      <c r="AH24" s="3"/>
      <c r="AI24" s="3"/>
      <c r="AJ24" s="3"/>
      <c r="AK24" s="3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2:68" ht="15" customHeight="1" x14ac:dyDescent="0.25">
      <c r="B25" s="1"/>
      <c r="C25" s="37"/>
      <c r="D25" s="37"/>
      <c r="E25" s="37"/>
      <c r="F25" s="48"/>
      <c r="G25" s="37"/>
      <c r="H25" s="37"/>
      <c r="I25" s="37"/>
      <c r="J25" s="37"/>
      <c r="K25" s="3"/>
      <c r="L25" s="1"/>
      <c r="M25" s="20"/>
      <c r="N25" s="2"/>
      <c r="O25" s="2"/>
      <c r="P25" s="12"/>
      <c r="Q25" s="49"/>
      <c r="R25" s="49"/>
      <c r="S25" s="8"/>
      <c r="T25" s="8"/>
      <c r="U25" s="8"/>
      <c r="V25" s="8"/>
      <c r="W25" s="8"/>
      <c r="X25" s="1"/>
      <c r="Y25" s="1"/>
      <c r="Z25" s="1"/>
      <c r="AA25" s="1"/>
      <c r="AB25" s="1"/>
      <c r="AC25" s="3"/>
      <c r="AD25" s="3"/>
      <c r="AE25" s="3"/>
      <c r="AF25" s="3"/>
      <c r="AG25" s="3"/>
      <c r="AH25" s="3"/>
      <c r="AI25" s="3"/>
      <c r="AJ25" s="3"/>
      <c r="AK25" s="3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2:68" ht="15" customHeight="1" x14ac:dyDescent="0.25">
      <c r="B26" s="1"/>
      <c r="C26" s="35"/>
      <c r="D26" s="35"/>
      <c r="E26" s="35"/>
      <c r="F26" s="35"/>
      <c r="G26" s="35"/>
      <c r="H26" s="35"/>
      <c r="I26" s="35"/>
      <c r="J26" s="35"/>
      <c r="K26" s="3"/>
      <c r="L26" s="1"/>
      <c r="M26" s="20"/>
      <c r="N26" s="2"/>
      <c r="O26" s="2"/>
      <c r="P26" s="12"/>
      <c r="Q26" s="12"/>
      <c r="R26" s="12"/>
      <c r="S26" s="20"/>
      <c r="T26" s="20"/>
      <c r="U26" s="20"/>
      <c r="V26" s="20"/>
      <c r="W26" s="20"/>
      <c r="X26" s="1"/>
      <c r="Y26" s="1"/>
      <c r="Z26" s="1"/>
      <c r="AA26" s="1"/>
      <c r="AB26" s="1"/>
      <c r="AC26" s="3"/>
      <c r="AD26" s="3"/>
      <c r="AE26" s="3"/>
      <c r="AF26" s="3"/>
      <c r="AG26" s="3"/>
      <c r="AH26" s="3"/>
      <c r="AI26" s="3"/>
      <c r="AJ26" s="3"/>
      <c r="AK26" s="3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2:68" x14ac:dyDescent="0.25">
      <c r="B27" s="1"/>
      <c r="C27" s="3"/>
      <c r="D27" s="3"/>
      <c r="E27" s="3"/>
      <c r="F27" s="3"/>
      <c r="G27" s="3"/>
      <c r="H27" s="3"/>
      <c r="I27" s="3"/>
      <c r="J27" s="3"/>
      <c r="K27" s="3"/>
      <c r="L27" s="1"/>
      <c r="M27" s="20"/>
      <c r="N27" s="2"/>
      <c r="O27" s="12"/>
      <c r="P27" s="12"/>
      <c r="Q27" s="2"/>
      <c r="R27" s="2"/>
      <c r="S27" s="20"/>
      <c r="T27" s="1"/>
      <c r="U27" s="1"/>
      <c r="V27" s="1"/>
      <c r="W27" s="3"/>
      <c r="X27" s="3"/>
      <c r="Y27" s="3"/>
      <c r="Z27" s="3"/>
      <c r="AA27" s="3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2:68" x14ac:dyDescent="0.25">
      <c r="B28" s="1"/>
      <c r="C28" s="167" t="s">
        <v>8</v>
      </c>
      <c r="D28" s="167"/>
      <c r="E28" s="3"/>
      <c r="F28" s="167" t="s">
        <v>9</v>
      </c>
      <c r="G28" s="167"/>
      <c r="H28" s="3"/>
      <c r="I28" s="167" t="s">
        <v>10</v>
      </c>
      <c r="J28" s="167"/>
      <c r="K28" s="3"/>
      <c r="L28" s="1"/>
      <c r="M28" s="168" t="s">
        <v>11</v>
      </c>
      <c r="N28" s="168"/>
      <c r="O28" s="2"/>
      <c r="P28" s="168" t="s">
        <v>12</v>
      </c>
      <c r="Q28" s="168"/>
      <c r="R28" s="2"/>
      <c r="S28" s="168" t="s">
        <v>13</v>
      </c>
      <c r="T28" s="168"/>
      <c r="U28" s="1"/>
      <c r="V28" s="1"/>
      <c r="W28" s="165" t="s">
        <v>14</v>
      </c>
      <c r="X28" s="165"/>
      <c r="Y28" s="3"/>
      <c r="Z28" s="165" t="s">
        <v>15</v>
      </c>
      <c r="AA28" s="165"/>
      <c r="AB28" s="3"/>
      <c r="AC28" s="165" t="s">
        <v>16</v>
      </c>
      <c r="AD28" s="165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2:68" s="50" customFormat="1" ht="30" x14ac:dyDescent="0.25">
      <c r="B29" s="23"/>
      <c r="C29" s="4" t="s">
        <v>19</v>
      </c>
      <c r="D29" s="31" t="s">
        <v>20</v>
      </c>
      <c r="E29" s="5"/>
      <c r="F29" s="4" t="s">
        <v>19</v>
      </c>
      <c r="G29" s="31" t="s">
        <v>20</v>
      </c>
      <c r="H29" s="5"/>
      <c r="I29" s="4" t="s">
        <v>19</v>
      </c>
      <c r="J29" s="31" t="s">
        <v>20</v>
      </c>
      <c r="K29" s="2"/>
      <c r="L29" s="23"/>
      <c r="M29" s="4" t="s">
        <v>19</v>
      </c>
      <c r="N29" s="31" t="s">
        <v>20</v>
      </c>
      <c r="O29" s="5"/>
      <c r="P29" s="4" t="s">
        <v>19</v>
      </c>
      <c r="Q29" s="31" t="s">
        <v>20</v>
      </c>
      <c r="R29" s="5"/>
      <c r="S29" s="4" t="s">
        <v>19</v>
      </c>
      <c r="T29" s="31" t="s">
        <v>20</v>
      </c>
      <c r="U29" s="23"/>
      <c r="V29" s="23"/>
      <c r="W29" s="4" t="s">
        <v>19</v>
      </c>
      <c r="X29" s="31" t="s">
        <v>20</v>
      </c>
      <c r="Y29" s="5"/>
      <c r="Z29" s="4" t="s">
        <v>19</v>
      </c>
      <c r="AA29" s="31" t="s">
        <v>20</v>
      </c>
      <c r="AB29" s="5"/>
      <c r="AC29" s="4" t="s">
        <v>19</v>
      </c>
      <c r="AD29" s="31" t="s">
        <v>20</v>
      </c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</row>
    <row r="30" spans="2:68" x14ac:dyDescent="0.25">
      <c r="B30" s="1"/>
      <c r="C30" s="6">
        <v>24</v>
      </c>
      <c r="D30" s="5">
        <v>22</v>
      </c>
      <c r="E30" s="5"/>
      <c r="F30" s="6">
        <v>25</v>
      </c>
      <c r="G30" s="5">
        <v>21</v>
      </c>
      <c r="H30" s="5"/>
      <c r="I30" s="6">
        <v>28</v>
      </c>
      <c r="J30" s="5">
        <v>30</v>
      </c>
      <c r="K30" s="3"/>
      <c r="L30" s="1"/>
      <c r="M30" s="6">
        <v>15</v>
      </c>
      <c r="N30" s="5">
        <v>15</v>
      </c>
      <c r="O30" s="5"/>
      <c r="P30" s="6">
        <v>23</v>
      </c>
      <c r="Q30" s="5">
        <v>13</v>
      </c>
      <c r="R30" s="5"/>
      <c r="S30" s="6">
        <v>26</v>
      </c>
      <c r="T30" s="5">
        <v>10</v>
      </c>
      <c r="U30" s="1"/>
      <c r="V30" s="1"/>
      <c r="W30" s="6">
        <v>18</v>
      </c>
      <c r="X30" s="5">
        <v>11</v>
      </c>
      <c r="Y30" s="5"/>
      <c r="Z30" s="6">
        <v>21</v>
      </c>
      <c r="AA30" s="5">
        <v>19</v>
      </c>
      <c r="AB30" s="5"/>
      <c r="AC30" s="6">
        <v>25</v>
      </c>
      <c r="AD30" s="5">
        <v>14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2:68" x14ac:dyDescent="0.25">
      <c r="B31" s="1"/>
      <c r="C31" s="6">
        <v>10</v>
      </c>
      <c r="D31" s="5">
        <v>5</v>
      </c>
      <c r="E31" s="5"/>
      <c r="F31" s="6">
        <v>24</v>
      </c>
      <c r="G31" s="5">
        <v>18</v>
      </c>
      <c r="H31" s="5"/>
      <c r="I31" s="6">
        <v>33</v>
      </c>
      <c r="J31" s="5">
        <v>22</v>
      </c>
      <c r="K31" s="3"/>
      <c r="L31" s="1"/>
      <c r="M31" s="6">
        <v>26</v>
      </c>
      <c r="N31" s="5">
        <v>14</v>
      </c>
      <c r="O31" s="5"/>
      <c r="P31" s="6">
        <v>13</v>
      </c>
      <c r="Q31" s="5">
        <v>2</v>
      </c>
      <c r="R31" s="5"/>
      <c r="S31" s="6">
        <v>20</v>
      </c>
      <c r="T31" s="5">
        <v>20</v>
      </c>
      <c r="U31" s="1"/>
      <c r="V31" s="1"/>
      <c r="W31" s="6">
        <v>24</v>
      </c>
      <c r="X31" s="5">
        <v>17</v>
      </c>
      <c r="Y31" s="5"/>
      <c r="Z31" s="6">
        <v>31</v>
      </c>
      <c r="AA31" s="5">
        <v>18</v>
      </c>
      <c r="AB31" s="5"/>
      <c r="AC31" s="6">
        <v>16</v>
      </c>
      <c r="AD31" s="5">
        <v>21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2:68" x14ac:dyDescent="0.25">
      <c r="B32" s="1"/>
      <c r="C32" s="6">
        <v>13</v>
      </c>
      <c r="D32" s="5">
        <v>10</v>
      </c>
      <c r="E32" s="5"/>
      <c r="F32" s="6">
        <v>22</v>
      </c>
      <c r="G32" s="5">
        <v>16</v>
      </c>
      <c r="H32" s="5"/>
      <c r="I32" s="6">
        <v>14</v>
      </c>
      <c r="J32" s="5">
        <v>15</v>
      </c>
      <c r="K32" s="3"/>
      <c r="L32" s="1"/>
      <c r="M32" s="6">
        <v>22</v>
      </c>
      <c r="N32" s="5">
        <v>10</v>
      </c>
      <c r="O32" s="5"/>
      <c r="P32" s="6">
        <v>16</v>
      </c>
      <c r="Q32" s="5">
        <v>22</v>
      </c>
      <c r="R32" s="5"/>
      <c r="S32" s="6">
        <v>26</v>
      </c>
      <c r="T32" s="5">
        <v>29</v>
      </c>
      <c r="U32" s="1"/>
      <c r="V32" s="1"/>
      <c r="W32" s="6">
        <v>22</v>
      </c>
      <c r="X32" s="5">
        <v>38</v>
      </c>
      <c r="Y32" s="5"/>
      <c r="Z32" s="6">
        <v>23</v>
      </c>
      <c r="AA32" s="5">
        <v>16</v>
      </c>
      <c r="AB32" s="5"/>
      <c r="AC32" s="6">
        <v>25</v>
      </c>
      <c r="AD32" s="5">
        <v>6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68" x14ac:dyDescent="0.25">
      <c r="B33" s="1"/>
      <c r="C33" s="6">
        <v>5</v>
      </c>
      <c r="D33" s="5">
        <v>1</v>
      </c>
      <c r="E33" s="5"/>
      <c r="F33" s="6">
        <v>14</v>
      </c>
      <c r="G33" s="5">
        <v>10</v>
      </c>
      <c r="H33" s="5"/>
      <c r="I33" s="6">
        <v>25</v>
      </c>
      <c r="J33" s="5">
        <v>15</v>
      </c>
      <c r="K33" s="3"/>
      <c r="L33" s="1"/>
      <c r="M33" s="6">
        <v>22</v>
      </c>
      <c r="N33" s="5">
        <v>34</v>
      </c>
      <c r="O33" s="5"/>
      <c r="P33" s="6">
        <v>18</v>
      </c>
      <c r="Q33" s="5">
        <v>19</v>
      </c>
      <c r="R33" s="5"/>
      <c r="S33" s="6">
        <v>25</v>
      </c>
      <c r="T33" s="5">
        <v>24</v>
      </c>
      <c r="U33" s="1"/>
      <c r="V33" s="1"/>
      <c r="W33" s="6">
        <v>22</v>
      </c>
      <c r="X33" s="5">
        <v>21</v>
      </c>
      <c r="Y33" s="5"/>
      <c r="Z33" s="6">
        <v>16</v>
      </c>
      <c r="AA33" s="5">
        <v>26</v>
      </c>
      <c r="AB33" s="5"/>
      <c r="AC33" s="6">
        <v>14</v>
      </c>
      <c r="AD33" s="5">
        <v>10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68" x14ac:dyDescent="0.25">
      <c r="B34" s="1"/>
      <c r="C34" s="6">
        <v>20</v>
      </c>
      <c r="D34" s="5">
        <v>14</v>
      </c>
      <c r="E34" s="5"/>
      <c r="F34" s="6">
        <v>15</v>
      </c>
      <c r="G34" s="5">
        <v>15</v>
      </c>
      <c r="H34" s="5"/>
      <c r="I34" s="6">
        <v>21</v>
      </c>
      <c r="J34" s="5">
        <v>8</v>
      </c>
      <c r="K34" s="3"/>
      <c r="L34" s="1"/>
      <c r="M34" s="6">
        <v>17</v>
      </c>
      <c r="N34" s="5">
        <v>17</v>
      </c>
      <c r="O34" s="5"/>
      <c r="P34" s="6">
        <v>20</v>
      </c>
      <c r="Q34" s="5">
        <v>12</v>
      </c>
      <c r="R34" s="5"/>
      <c r="S34" s="6">
        <v>5</v>
      </c>
      <c r="T34" s="5">
        <v>15</v>
      </c>
      <c r="U34" s="1"/>
      <c r="V34" s="1"/>
      <c r="W34" s="6">
        <v>20</v>
      </c>
      <c r="X34" s="5">
        <v>11</v>
      </c>
      <c r="Y34" s="5"/>
      <c r="Z34" s="6">
        <v>22</v>
      </c>
      <c r="AA34" s="5">
        <v>19</v>
      </c>
      <c r="AB34" s="5"/>
      <c r="AC34" s="6">
        <v>21</v>
      </c>
      <c r="AD34" s="5">
        <v>23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68" x14ac:dyDescent="0.25">
      <c r="B35" s="1"/>
      <c r="C35" s="6">
        <v>19</v>
      </c>
      <c r="D35" s="5">
        <v>16</v>
      </c>
      <c r="E35" s="5"/>
      <c r="F35" s="6">
        <v>17</v>
      </c>
      <c r="G35" s="5">
        <v>15</v>
      </c>
      <c r="H35" s="5"/>
      <c r="I35" s="6">
        <v>23</v>
      </c>
      <c r="J35" s="5">
        <v>14</v>
      </c>
      <c r="K35" s="3"/>
      <c r="L35" s="1"/>
      <c r="M35" s="6">
        <v>20</v>
      </c>
      <c r="N35" s="5">
        <v>21</v>
      </c>
      <c r="O35" s="5"/>
      <c r="P35" s="6">
        <v>6</v>
      </c>
      <c r="Q35" s="5">
        <v>15</v>
      </c>
      <c r="R35" s="5"/>
      <c r="S35" s="6">
        <v>3</v>
      </c>
      <c r="T35" s="5">
        <v>13</v>
      </c>
      <c r="U35" s="1"/>
      <c r="V35" s="1"/>
      <c r="W35" s="6">
        <v>23</v>
      </c>
      <c r="X35" s="5">
        <v>29</v>
      </c>
      <c r="Y35" s="5"/>
      <c r="Z35" s="6">
        <v>16</v>
      </c>
      <c r="AA35" s="5">
        <v>13</v>
      </c>
      <c r="AB35" s="5"/>
      <c r="AC35" s="6">
        <v>10</v>
      </c>
      <c r="AD35" s="5">
        <v>5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68" x14ac:dyDescent="0.25">
      <c r="B36" s="1"/>
      <c r="C36" s="6">
        <v>27</v>
      </c>
      <c r="D36" s="5">
        <v>21</v>
      </c>
      <c r="E36" s="5"/>
      <c r="F36" s="6">
        <v>22</v>
      </c>
      <c r="G36" s="5">
        <v>24</v>
      </c>
      <c r="H36" s="5"/>
      <c r="I36" s="6">
        <v>28</v>
      </c>
      <c r="J36" s="5">
        <v>8</v>
      </c>
      <c r="K36" s="3"/>
      <c r="L36" s="1"/>
      <c r="M36" s="6">
        <v>17</v>
      </c>
      <c r="N36" s="5">
        <v>14</v>
      </c>
      <c r="O36" s="5"/>
      <c r="P36" s="6">
        <v>13</v>
      </c>
      <c r="Q36" s="5">
        <v>16</v>
      </c>
      <c r="R36" s="5"/>
      <c r="S36" s="6">
        <v>17</v>
      </c>
      <c r="T36" s="5">
        <v>13</v>
      </c>
      <c r="U36" s="1"/>
      <c r="V36" s="1"/>
      <c r="W36" s="6">
        <v>16</v>
      </c>
      <c r="X36" s="5">
        <v>10</v>
      </c>
      <c r="Y36" s="5"/>
      <c r="Z36" s="6">
        <v>17</v>
      </c>
      <c r="AA36" s="5">
        <v>14</v>
      </c>
      <c r="AB36" s="5"/>
      <c r="AC36" s="6">
        <v>21</v>
      </c>
      <c r="AD36" s="5">
        <v>10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68" x14ac:dyDescent="0.25">
      <c r="B37" s="1"/>
      <c r="C37" s="6">
        <v>6</v>
      </c>
      <c r="D37" s="5">
        <v>1</v>
      </c>
      <c r="E37" s="5"/>
      <c r="F37" s="6">
        <v>19</v>
      </c>
      <c r="G37" s="5">
        <v>14</v>
      </c>
      <c r="H37" s="5"/>
      <c r="I37" s="6">
        <v>26</v>
      </c>
      <c r="J37" s="5">
        <v>18</v>
      </c>
      <c r="K37" s="3"/>
      <c r="L37" s="1"/>
      <c r="M37" s="6">
        <v>25</v>
      </c>
      <c r="N37" s="5">
        <v>16</v>
      </c>
      <c r="O37" s="5"/>
      <c r="P37" s="6">
        <v>10</v>
      </c>
      <c r="Q37" s="5">
        <v>17</v>
      </c>
      <c r="R37" s="5"/>
      <c r="S37" s="6">
        <v>16</v>
      </c>
      <c r="T37" s="5">
        <v>10</v>
      </c>
      <c r="U37" s="1"/>
      <c r="V37" s="1"/>
      <c r="W37" s="6">
        <v>19</v>
      </c>
      <c r="X37" s="5">
        <v>8</v>
      </c>
      <c r="Y37" s="5"/>
      <c r="Z37" s="6">
        <v>12</v>
      </c>
      <c r="AA37" s="5">
        <v>12</v>
      </c>
      <c r="AB37" s="5"/>
      <c r="AC37" s="6">
        <v>12</v>
      </c>
      <c r="AD37" s="5">
        <v>12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68" x14ac:dyDescent="0.25">
      <c r="B38" s="1"/>
      <c r="C38" s="6">
        <v>13</v>
      </c>
      <c r="D38" s="5">
        <v>12</v>
      </c>
      <c r="E38" s="5"/>
      <c r="F38" s="6">
        <v>11</v>
      </c>
      <c r="G38" s="5">
        <v>10</v>
      </c>
      <c r="H38" s="5"/>
      <c r="I38" s="6">
        <v>11</v>
      </c>
      <c r="J38" s="5">
        <v>19</v>
      </c>
      <c r="K38" s="3"/>
      <c r="L38" s="1"/>
      <c r="M38" s="6">
        <v>14</v>
      </c>
      <c r="N38" s="5">
        <v>18</v>
      </c>
      <c r="O38" s="5"/>
      <c r="P38" s="6">
        <v>16</v>
      </c>
      <c r="Q38" s="5">
        <v>17</v>
      </c>
      <c r="R38" s="5"/>
      <c r="S38" s="6">
        <v>19</v>
      </c>
      <c r="T38" s="5">
        <v>19</v>
      </c>
      <c r="U38" s="3"/>
      <c r="V38" s="1"/>
      <c r="W38" s="6">
        <v>8</v>
      </c>
      <c r="X38" s="5">
        <v>3</v>
      </c>
      <c r="Y38" s="5"/>
      <c r="Z38" s="6">
        <v>5</v>
      </c>
      <c r="AA38" s="5">
        <v>20</v>
      </c>
      <c r="AB38" s="5"/>
      <c r="AC38" s="6">
        <v>14</v>
      </c>
      <c r="AD38" s="5">
        <v>17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68" x14ac:dyDescent="0.25">
      <c r="B39" s="1"/>
      <c r="C39" s="6">
        <v>15</v>
      </c>
      <c r="D39" s="5">
        <v>8</v>
      </c>
      <c r="E39" s="5"/>
      <c r="F39" s="6">
        <v>7</v>
      </c>
      <c r="G39" s="5">
        <v>1</v>
      </c>
      <c r="H39" s="5"/>
      <c r="I39" s="6">
        <v>19</v>
      </c>
      <c r="J39" s="5">
        <v>17</v>
      </c>
      <c r="K39" s="3"/>
      <c r="L39" s="1"/>
      <c r="M39" s="6">
        <v>20</v>
      </c>
      <c r="N39" s="5">
        <v>16</v>
      </c>
      <c r="O39" s="5"/>
      <c r="P39" s="6">
        <v>10</v>
      </c>
      <c r="Q39" s="5">
        <v>11</v>
      </c>
      <c r="R39" s="5"/>
      <c r="S39" s="6">
        <v>21</v>
      </c>
      <c r="T39" s="5">
        <v>12</v>
      </c>
      <c r="U39" s="3"/>
      <c r="V39" s="1"/>
      <c r="W39" s="6">
        <v>7</v>
      </c>
      <c r="X39" s="5">
        <v>12</v>
      </c>
      <c r="Y39" s="5"/>
      <c r="Z39" s="6">
        <v>3</v>
      </c>
      <c r="AA39" s="5">
        <v>1</v>
      </c>
      <c r="AB39" s="5"/>
      <c r="AC39" s="6">
        <v>12</v>
      </c>
      <c r="AD39" s="5">
        <v>22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68" x14ac:dyDescent="0.25">
      <c r="B40" s="1"/>
      <c r="C40" s="6">
        <v>0</v>
      </c>
      <c r="D40" s="5">
        <v>0</v>
      </c>
      <c r="E40" s="5"/>
      <c r="F40" s="6">
        <v>0</v>
      </c>
      <c r="G40" s="5">
        <v>1</v>
      </c>
      <c r="H40" s="5"/>
      <c r="I40" s="6">
        <v>18</v>
      </c>
      <c r="J40" s="5">
        <v>17</v>
      </c>
      <c r="K40" s="3"/>
      <c r="L40" s="1"/>
      <c r="M40" s="6">
        <v>22</v>
      </c>
      <c r="N40" s="5">
        <v>11</v>
      </c>
      <c r="O40" s="5"/>
      <c r="P40" s="6">
        <v>21</v>
      </c>
      <c r="Q40" s="5">
        <v>13</v>
      </c>
      <c r="R40" s="5"/>
      <c r="S40" s="6">
        <v>14</v>
      </c>
      <c r="T40" s="5">
        <v>11</v>
      </c>
      <c r="U40" s="3"/>
      <c r="V40" s="1"/>
      <c r="W40" s="6">
        <v>11</v>
      </c>
      <c r="X40" s="5">
        <v>5</v>
      </c>
      <c r="Y40" s="5"/>
      <c r="Z40" s="6">
        <v>5</v>
      </c>
      <c r="AA40" s="5">
        <v>4</v>
      </c>
      <c r="AB40" s="5"/>
      <c r="AC40" s="6">
        <v>10</v>
      </c>
      <c r="AD40" s="5">
        <v>9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68" x14ac:dyDescent="0.25">
      <c r="B41" s="1"/>
      <c r="C41" s="6">
        <v>6</v>
      </c>
      <c r="D41" s="5">
        <v>1</v>
      </c>
      <c r="E41" s="5"/>
      <c r="F41" s="6">
        <v>3</v>
      </c>
      <c r="G41" s="5">
        <v>1</v>
      </c>
      <c r="H41" s="5"/>
      <c r="I41" s="6">
        <v>15</v>
      </c>
      <c r="J41" s="5">
        <v>11</v>
      </c>
      <c r="K41" s="3"/>
      <c r="L41" s="1"/>
      <c r="M41" s="6">
        <v>12</v>
      </c>
      <c r="N41" s="5">
        <v>21</v>
      </c>
      <c r="O41" s="5"/>
      <c r="P41" s="6">
        <v>22</v>
      </c>
      <c r="Q41" s="5">
        <v>17</v>
      </c>
      <c r="R41" s="5"/>
      <c r="S41" s="6">
        <v>10</v>
      </c>
      <c r="T41" s="5">
        <v>10</v>
      </c>
      <c r="U41" s="3"/>
      <c r="V41" s="1"/>
      <c r="W41" s="6">
        <v>29</v>
      </c>
      <c r="X41" s="5">
        <v>34</v>
      </c>
      <c r="Y41" s="5"/>
      <c r="Z41" s="6">
        <v>6</v>
      </c>
      <c r="AA41" s="5">
        <v>7</v>
      </c>
      <c r="AB41" s="5"/>
      <c r="AC41" s="6">
        <v>20</v>
      </c>
      <c r="AD41" s="5">
        <v>19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68" x14ac:dyDescent="0.25">
      <c r="B42" s="1"/>
      <c r="C42" s="6">
        <v>13</v>
      </c>
      <c r="D42" s="5">
        <v>20</v>
      </c>
      <c r="E42" s="5"/>
      <c r="F42" s="6">
        <v>5</v>
      </c>
      <c r="G42" s="5">
        <v>2</v>
      </c>
      <c r="H42" s="5"/>
      <c r="I42" s="6">
        <v>6</v>
      </c>
      <c r="J42" s="5">
        <v>1</v>
      </c>
      <c r="K42" s="3"/>
      <c r="L42" s="1"/>
      <c r="M42" s="6">
        <v>15</v>
      </c>
      <c r="N42" s="5">
        <v>12</v>
      </c>
      <c r="O42" s="5"/>
      <c r="P42" s="6">
        <v>6</v>
      </c>
      <c r="Q42" s="5">
        <v>4</v>
      </c>
      <c r="R42" s="5"/>
      <c r="S42" s="6">
        <v>9</v>
      </c>
      <c r="T42" s="5">
        <v>4</v>
      </c>
      <c r="U42" s="3"/>
      <c r="V42" s="1"/>
      <c r="W42" s="6">
        <v>6</v>
      </c>
      <c r="X42" s="5">
        <v>8</v>
      </c>
      <c r="Y42" s="5"/>
      <c r="Z42" s="6">
        <v>19</v>
      </c>
      <c r="AA42" s="5">
        <v>24</v>
      </c>
      <c r="AB42" s="5"/>
      <c r="AC42" s="6">
        <v>5</v>
      </c>
      <c r="AD42" s="5">
        <v>1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68" x14ac:dyDescent="0.25">
      <c r="B43" s="1"/>
      <c r="C43" s="6">
        <v>14</v>
      </c>
      <c r="D43" s="5">
        <v>1</v>
      </c>
      <c r="E43" s="5"/>
      <c r="F43" s="6">
        <v>7</v>
      </c>
      <c r="G43" s="5">
        <v>2</v>
      </c>
      <c r="H43" s="5"/>
      <c r="I43" s="6">
        <v>8</v>
      </c>
      <c r="J43" s="5">
        <v>2</v>
      </c>
      <c r="K43" s="3"/>
      <c r="L43" s="1"/>
      <c r="M43" s="6">
        <v>11</v>
      </c>
      <c r="N43" s="5">
        <v>11</v>
      </c>
      <c r="O43" s="5"/>
      <c r="P43" s="6">
        <v>13</v>
      </c>
      <c r="Q43" s="5">
        <v>5</v>
      </c>
      <c r="R43" s="5"/>
      <c r="S43" s="6">
        <v>19</v>
      </c>
      <c r="T43" s="5">
        <v>21</v>
      </c>
      <c r="U43" s="3"/>
      <c r="V43" s="1"/>
      <c r="W43" s="6">
        <v>11</v>
      </c>
      <c r="X43" s="5">
        <v>21</v>
      </c>
      <c r="Y43" s="5"/>
      <c r="Z43" s="6">
        <v>9</v>
      </c>
      <c r="AA43" s="5">
        <v>17</v>
      </c>
      <c r="AB43" s="5"/>
      <c r="AC43" s="6">
        <v>24</v>
      </c>
      <c r="AD43" s="5">
        <v>14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68" s="30" customFormat="1" x14ac:dyDescent="0.25">
      <c r="A44"/>
      <c r="B44" s="1"/>
      <c r="C44" s="6">
        <v>26</v>
      </c>
      <c r="D44" s="5">
        <v>19</v>
      </c>
      <c r="E44" s="5"/>
      <c r="F44" s="6">
        <v>11</v>
      </c>
      <c r="G44" s="5">
        <v>6</v>
      </c>
      <c r="H44" s="5"/>
      <c r="I44" s="6">
        <v>0</v>
      </c>
      <c r="J44" s="5">
        <v>0</v>
      </c>
      <c r="K44" s="3"/>
      <c r="L44" s="1"/>
      <c r="M44" s="6">
        <v>5</v>
      </c>
      <c r="N44" s="5">
        <v>4</v>
      </c>
      <c r="O44" s="5"/>
      <c r="P44" s="6">
        <v>8</v>
      </c>
      <c r="Q44" s="5">
        <v>16</v>
      </c>
      <c r="R44" s="5"/>
      <c r="S44" s="6">
        <v>9</v>
      </c>
      <c r="T44" s="5">
        <v>14</v>
      </c>
      <c r="U44" s="3"/>
      <c r="V44" s="1"/>
      <c r="W44" s="6">
        <v>7</v>
      </c>
      <c r="X44" s="5">
        <v>11</v>
      </c>
      <c r="Y44" s="5"/>
      <c r="Z44" s="6">
        <v>22</v>
      </c>
      <c r="AA44" s="5">
        <v>21</v>
      </c>
      <c r="AB44" s="5"/>
      <c r="AC44" s="6">
        <v>15</v>
      </c>
      <c r="AD44" s="5">
        <v>22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68" s="30" customFormat="1" x14ac:dyDescent="0.25">
      <c r="A45"/>
      <c r="B45" s="1"/>
      <c r="C45" s="6">
        <v>17</v>
      </c>
      <c r="D45" s="5">
        <v>15</v>
      </c>
      <c r="E45" s="5"/>
      <c r="F45" s="6">
        <v>24</v>
      </c>
      <c r="G45" s="5">
        <v>26</v>
      </c>
      <c r="H45" s="5"/>
      <c r="I45" s="6">
        <v>0</v>
      </c>
      <c r="J45" s="5">
        <v>0</v>
      </c>
      <c r="K45" s="3"/>
      <c r="L45" s="1"/>
      <c r="M45" s="6">
        <v>4</v>
      </c>
      <c r="N45" s="5">
        <v>2</v>
      </c>
      <c r="O45" s="5"/>
      <c r="P45" s="6">
        <v>6</v>
      </c>
      <c r="Q45" s="5">
        <v>9</v>
      </c>
      <c r="R45" s="5"/>
      <c r="S45" s="6">
        <v>19</v>
      </c>
      <c r="T45" s="5">
        <v>20</v>
      </c>
      <c r="U45" s="3"/>
      <c r="V45" s="1"/>
      <c r="W45" s="6">
        <v>6</v>
      </c>
      <c r="X45" s="5">
        <v>1</v>
      </c>
      <c r="Y45" s="5"/>
      <c r="Z45" s="6">
        <v>17</v>
      </c>
      <c r="AA45" s="5">
        <v>9</v>
      </c>
      <c r="AB45" s="5"/>
      <c r="AC45" s="6">
        <v>3</v>
      </c>
      <c r="AD45" s="5">
        <v>1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68" x14ac:dyDescent="0.25">
      <c r="B46" s="1"/>
      <c r="C46" s="6">
        <v>7</v>
      </c>
      <c r="D46" s="5">
        <v>9</v>
      </c>
      <c r="E46" s="5"/>
      <c r="F46" s="6">
        <v>16</v>
      </c>
      <c r="G46" s="5">
        <v>12</v>
      </c>
      <c r="H46" s="5"/>
      <c r="I46" s="6">
        <v>4</v>
      </c>
      <c r="J46" s="5">
        <v>3</v>
      </c>
      <c r="K46" s="3"/>
      <c r="M46" s="6">
        <v>5</v>
      </c>
      <c r="N46" s="5">
        <v>1</v>
      </c>
      <c r="O46" s="5"/>
      <c r="P46" s="6">
        <v>11</v>
      </c>
      <c r="Q46" s="5">
        <v>4</v>
      </c>
      <c r="R46" s="5"/>
      <c r="S46" s="6">
        <v>9</v>
      </c>
      <c r="T46" s="5">
        <v>1</v>
      </c>
      <c r="U46" s="3"/>
      <c r="V46" s="1"/>
      <c r="W46" s="6">
        <v>5</v>
      </c>
      <c r="X46" s="5">
        <v>1</v>
      </c>
      <c r="Y46" s="5"/>
      <c r="Z46" s="6">
        <v>15</v>
      </c>
      <c r="AA46" s="5">
        <v>19</v>
      </c>
      <c r="AB46" s="5"/>
      <c r="AC46" s="6">
        <v>8</v>
      </c>
      <c r="AD46" s="5">
        <v>3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8" x14ac:dyDescent="0.25">
      <c r="B47" s="1"/>
      <c r="C47" s="6">
        <v>6</v>
      </c>
      <c r="D47" s="5">
        <v>11</v>
      </c>
      <c r="E47" s="5"/>
      <c r="F47" s="6">
        <v>15</v>
      </c>
      <c r="G47" s="5">
        <v>18</v>
      </c>
      <c r="H47" s="5"/>
      <c r="I47" s="6">
        <v>4</v>
      </c>
      <c r="J47" s="5">
        <v>10</v>
      </c>
      <c r="K47" s="3"/>
      <c r="M47" s="6">
        <v>7</v>
      </c>
      <c r="N47" s="5">
        <v>3</v>
      </c>
      <c r="O47" s="5"/>
      <c r="P47" s="6">
        <v>5</v>
      </c>
      <c r="Q47" s="5">
        <v>1</v>
      </c>
      <c r="R47" s="5"/>
      <c r="S47" s="6">
        <v>3</v>
      </c>
      <c r="T47" s="5">
        <v>1</v>
      </c>
      <c r="U47" s="3"/>
      <c r="V47" s="1"/>
      <c r="W47" s="6">
        <v>9</v>
      </c>
      <c r="X47" s="5">
        <v>7</v>
      </c>
      <c r="Y47" s="5"/>
      <c r="Z47" s="6">
        <v>18</v>
      </c>
      <c r="AA47" s="5">
        <v>16</v>
      </c>
      <c r="AB47" s="5"/>
      <c r="AC47" s="6">
        <v>5</v>
      </c>
      <c r="AD47" s="5">
        <v>1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</row>
    <row r="48" spans="1:68" x14ac:dyDescent="0.25">
      <c r="A48" s="30"/>
      <c r="B48" s="1"/>
      <c r="C48" s="6">
        <v>18</v>
      </c>
      <c r="D48" s="5">
        <v>17</v>
      </c>
      <c r="E48" s="5"/>
      <c r="F48" s="6">
        <v>18</v>
      </c>
      <c r="G48" s="5">
        <v>7</v>
      </c>
      <c r="H48" s="5"/>
      <c r="I48" s="6">
        <v>4</v>
      </c>
      <c r="J48" s="5">
        <v>4</v>
      </c>
      <c r="K48" s="3"/>
      <c r="M48" s="6">
        <v>4</v>
      </c>
      <c r="N48" s="5">
        <v>6</v>
      </c>
      <c r="O48" s="5"/>
      <c r="P48" s="6">
        <v>4</v>
      </c>
      <c r="Q48" s="5">
        <v>2</v>
      </c>
      <c r="R48" s="5"/>
      <c r="S48" s="6">
        <v>3</v>
      </c>
      <c r="T48" s="5">
        <v>1</v>
      </c>
      <c r="U48" s="3"/>
      <c r="V48" s="1"/>
      <c r="W48" s="6">
        <v>8</v>
      </c>
      <c r="X48" s="5">
        <v>10</v>
      </c>
      <c r="Y48" s="5"/>
      <c r="Z48" s="6">
        <v>7</v>
      </c>
      <c r="AA48" s="5">
        <v>14</v>
      </c>
      <c r="AB48" s="5"/>
      <c r="AC48" s="6">
        <v>3</v>
      </c>
      <c r="AD48" s="5">
        <v>1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</row>
    <row r="49" spans="1:68" x14ac:dyDescent="0.25">
      <c r="A49" s="30"/>
      <c r="B49" s="1"/>
      <c r="C49" s="4">
        <v>0</v>
      </c>
      <c r="D49" s="31">
        <v>0</v>
      </c>
      <c r="E49" s="5"/>
      <c r="F49" s="4">
        <v>0</v>
      </c>
      <c r="G49" s="31">
        <v>0</v>
      </c>
      <c r="H49" s="5"/>
      <c r="I49" s="4">
        <v>3</v>
      </c>
      <c r="J49" s="31">
        <v>1</v>
      </c>
      <c r="K49" s="3"/>
      <c r="L49" s="3"/>
      <c r="M49" s="4">
        <v>0</v>
      </c>
      <c r="N49" s="31">
        <v>0</v>
      </c>
      <c r="O49" s="5"/>
      <c r="P49" s="4">
        <v>2</v>
      </c>
      <c r="Q49" s="31">
        <v>1</v>
      </c>
      <c r="R49" s="5"/>
      <c r="S49" s="4">
        <v>5</v>
      </c>
      <c r="T49" s="31">
        <v>6</v>
      </c>
      <c r="U49" s="3"/>
      <c r="V49" s="1"/>
      <c r="W49" s="4">
        <v>5</v>
      </c>
      <c r="X49" s="31">
        <v>4</v>
      </c>
      <c r="Y49" s="5"/>
      <c r="Z49" s="4">
        <v>1</v>
      </c>
      <c r="AA49" s="31">
        <v>6</v>
      </c>
      <c r="AB49" s="5"/>
      <c r="AC49" s="4">
        <v>0</v>
      </c>
      <c r="AD49" s="31">
        <v>0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</row>
    <row r="50" spans="1:68" x14ac:dyDescent="0.25">
      <c r="B50" s="32" t="s">
        <v>21</v>
      </c>
      <c r="C50" s="33">
        <f>AVERAGE(C41:C48,C30:C39)</f>
        <v>14.388888888888889</v>
      </c>
      <c r="D50" s="34">
        <f>AVERAGE(D41:D48,D30:D39)</f>
        <v>11.277777777777779</v>
      </c>
      <c r="E50" s="34"/>
      <c r="F50" s="33">
        <f>AVERAGE(F41:F48,F30:F39)</f>
        <v>15.277777777777779</v>
      </c>
      <c r="G50" s="34">
        <f>AVERAGE(G30:G48)</f>
        <v>11.526315789473685</v>
      </c>
      <c r="H50" s="34"/>
      <c r="I50" s="33">
        <f>AVERAGE(I46:I49,I30:I43)</f>
        <v>16.111111111111111</v>
      </c>
      <c r="J50" s="34">
        <f>AVERAGE(J46:J49,J30:J43)</f>
        <v>11.944444444444445</v>
      </c>
      <c r="K50" s="3"/>
      <c r="L50" s="32" t="s">
        <v>3</v>
      </c>
      <c r="M50" s="33">
        <f>AVERAGE(M30:M48)</f>
        <v>14.894736842105264</v>
      </c>
      <c r="N50" s="34">
        <f>AVERAGE(N30:N48)</f>
        <v>12.947368421052632</v>
      </c>
      <c r="O50" s="34"/>
      <c r="P50" s="33">
        <f>AVERAGE(P30:P49)</f>
        <v>12.15</v>
      </c>
      <c r="Q50" s="34">
        <f>AVERAGE(Q30:Q49)</f>
        <v>10.8</v>
      </c>
      <c r="R50" s="34"/>
      <c r="S50" s="33">
        <f>AVERAGE(S30:S49)</f>
        <v>13.9</v>
      </c>
      <c r="T50" s="34">
        <f>AVERAGE(T30:T49)</f>
        <v>12.7</v>
      </c>
      <c r="U50" s="3"/>
      <c r="V50" s="32" t="s">
        <v>3</v>
      </c>
      <c r="W50" s="33">
        <f>AVERAGE(W30:W49)</f>
        <v>13.8</v>
      </c>
      <c r="X50" s="34">
        <f>AVERAGE(X30:X49)</f>
        <v>13.1</v>
      </c>
      <c r="Y50" s="34"/>
      <c r="Z50" s="33">
        <f>AVERAGE(Z30:Z49)</f>
        <v>14.25</v>
      </c>
      <c r="AA50" s="34">
        <f>AVERAGE(AA30:AA49)</f>
        <v>14.75</v>
      </c>
      <c r="AB50" s="34"/>
      <c r="AC50" s="33">
        <f>AVERAGE(AC30:AC48)</f>
        <v>13.842105263157896</v>
      </c>
      <c r="AD50" s="34">
        <f>AVERAGE(AD30:AD48)</f>
        <v>11.105263157894736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</row>
    <row r="51" spans="1:68" x14ac:dyDescent="0.25">
      <c r="B51" s="1"/>
      <c r="C51" s="37"/>
      <c r="D51" s="37"/>
      <c r="E51" s="37"/>
      <c r="F51" s="37"/>
      <c r="G51" s="37"/>
      <c r="H51" s="37"/>
      <c r="I51" s="37"/>
      <c r="J51" s="37"/>
      <c r="K51" s="3"/>
      <c r="L51" s="1"/>
      <c r="M51" s="37"/>
      <c r="N51" s="37"/>
      <c r="O51" s="37"/>
      <c r="P51" s="37"/>
      <c r="Q51" s="37"/>
      <c r="R51" s="37"/>
      <c r="S51" s="37"/>
      <c r="T51" s="37"/>
      <c r="U51" s="3"/>
      <c r="V51" s="1"/>
      <c r="W51" s="37"/>
      <c r="X51" s="37"/>
      <c r="Y51" s="37"/>
      <c r="Z51" s="37"/>
      <c r="AA51" s="37"/>
      <c r="AB51" s="37"/>
      <c r="AC51" s="37"/>
      <c r="AD51" s="37"/>
      <c r="AE51" s="1"/>
      <c r="AF51" s="1"/>
      <c r="AG51" s="1"/>
      <c r="AH51" s="1"/>
      <c r="AI51" s="1"/>
      <c r="AJ51" s="3"/>
      <c r="AK51" s="3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</row>
    <row r="52" spans="1:68" x14ac:dyDescent="0.25">
      <c r="B52" s="1"/>
      <c r="C52" s="35"/>
      <c r="D52" s="35"/>
      <c r="E52" s="35"/>
      <c r="F52" s="35"/>
      <c r="G52" s="35"/>
      <c r="H52" s="35"/>
      <c r="I52" s="35"/>
      <c r="J52" s="35"/>
      <c r="K52" s="3"/>
      <c r="L52" s="1"/>
      <c r="M52" s="35"/>
      <c r="N52" s="35"/>
      <c r="O52" s="35"/>
      <c r="P52" s="35"/>
      <c r="Q52" s="35"/>
      <c r="R52" s="35"/>
      <c r="S52" s="35"/>
      <c r="T52" s="35"/>
      <c r="U52" s="3"/>
      <c r="V52" s="1"/>
      <c r="W52" s="35"/>
      <c r="X52" s="35"/>
      <c r="Y52" s="35"/>
      <c r="Z52" s="35"/>
      <c r="AA52" s="35"/>
      <c r="AB52" s="35"/>
      <c r="AC52" s="35"/>
      <c r="AD52" s="35"/>
      <c r="AE52" s="1"/>
      <c r="AF52" s="1"/>
      <c r="AG52" s="1"/>
      <c r="AH52" s="1"/>
      <c r="AI52" s="1"/>
      <c r="AJ52" s="3"/>
      <c r="AK52" s="3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</row>
    <row r="53" spans="1:68" x14ac:dyDescent="0.25">
      <c r="B53" s="1"/>
      <c r="C53" s="37"/>
      <c r="D53" s="37"/>
      <c r="E53" s="37"/>
      <c r="F53" s="37"/>
      <c r="G53" s="37"/>
      <c r="H53" s="3"/>
      <c r="I53" s="3"/>
      <c r="J53" s="3"/>
      <c r="K53" s="3"/>
      <c r="L53" s="3"/>
      <c r="M53" s="3"/>
      <c r="N53" s="2"/>
      <c r="O53" s="2"/>
      <c r="P53" s="2"/>
      <c r="Q53" s="5"/>
      <c r="R53" s="5"/>
      <c r="S53" s="17"/>
      <c r="T53" s="3"/>
      <c r="U53" s="3"/>
      <c r="V53" s="3"/>
      <c r="W53" s="3"/>
      <c r="X53" s="3"/>
      <c r="Y53" s="3"/>
      <c r="Z53" s="3"/>
      <c r="AA53" s="3"/>
      <c r="AB53" s="1"/>
      <c r="AC53" s="1"/>
      <c r="AD53" s="1"/>
      <c r="AE53" s="1"/>
      <c r="AF53" s="1"/>
      <c r="AG53" s="1"/>
      <c r="AH53" s="1"/>
      <c r="AI53" s="1"/>
      <c r="AJ53" s="3"/>
      <c r="AK53" s="3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</row>
    <row r="54" spans="1:68" x14ac:dyDescent="0.25">
      <c r="B54" s="1"/>
      <c r="C54" s="1"/>
      <c r="D54" s="1"/>
      <c r="E54" s="1"/>
      <c r="F54" s="1"/>
      <c r="G54" s="1"/>
      <c r="H54" s="1"/>
      <c r="I54" s="1"/>
      <c r="J54" s="1"/>
      <c r="K54" s="3"/>
      <c r="L54" s="3"/>
      <c r="M54" s="3"/>
      <c r="N54" s="2"/>
      <c r="O54" s="2"/>
      <c r="P54" s="2"/>
      <c r="Q54" s="2"/>
      <c r="R54" s="2"/>
      <c r="S54" s="17"/>
      <c r="T54" s="17"/>
      <c r="U54" s="17"/>
      <c r="V54" s="17"/>
      <c r="W54" s="17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1"/>
      <c r="AI54" s="1"/>
      <c r="AJ54" s="3"/>
      <c r="AK54" s="3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</row>
    <row r="55" spans="1:68" x14ac:dyDescent="0.25">
      <c r="B55" s="1"/>
      <c r="C55" s="1"/>
      <c r="D55" s="1"/>
      <c r="E55" s="1"/>
      <c r="F55" s="1"/>
      <c r="G55" s="1"/>
      <c r="H55" s="1"/>
      <c r="I55" s="1"/>
      <c r="J55" s="1"/>
      <c r="K55" s="3"/>
      <c r="L55" s="3"/>
      <c r="M55" s="3"/>
      <c r="N55" s="2"/>
      <c r="O55" s="2"/>
      <c r="P55" s="2"/>
      <c r="Q55" s="2"/>
      <c r="R55" s="2"/>
      <c r="S55" s="17"/>
      <c r="T55" s="17"/>
      <c r="U55" s="17"/>
      <c r="V55" s="17"/>
      <c r="W55" s="17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</row>
    <row r="56" spans="1:68" x14ac:dyDescent="0.25">
      <c r="B56" s="1"/>
      <c r="C56" s="1"/>
      <c r="D56" s="1"/>
      <c r="E56" s="1"/>
      <c r="F56" s="1"/>
      <c r="G56" s="1"/>
      <c r="H56" s="1"/>
      <c r="I56" s="1"/>
      <c r="J56" s="1"/>
      <c r="K56" s="3"/>
      <c r="L56" s="3"/>
      <c r="M56" s="1"/>
      <c r="N56" s="23"/>
      <c r="O56" s="23"/>
      <c r="P56" s="23"/>
      <c r="Q56" s="23"/>
      <c r="R56" s="23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3"/>
      <c r="AJ56" s="3"/>
      <c r="AK56" s="3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</row>
    <row r="57" spans="1:68" x14ac:dyDescent="0.25">
      <c r="B57" s="1"/>
      <c r="C57" s="1"/>
      <c r="D57" s="1"/>
      <c r="E57" s="1"/>
      <c r="F57" s="1"/>
      <c r="G57" s="1"/>
      <c r="H57" s="1"/>
      <c r="I57" s="1"/>
      <c r="J57" s="1"/>
      <c r="K57" s="3"/>
      <c r="L57" s="3"/>
      <c r="M57" s="1"/>
      <c r="N57" s="23"/>
      <c r="O57" s="23"/>
      <c r="P57" s="23"/>
      <c r="Q57" s="23"/>
      <c r="R57" s="23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3"/>
      <c r="AJ57" s="3"/>
      <c r="AK57" s="3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</row>
    <row r="58" spans="1:68" x14ac:dyDescent="0.25">
      <c r="B58" s="1"/>
      <c r="C58" s="1"/>
      <c r="D58" s="1"/>
      <c r="E58" s="1"/>
      <c r="F58" s="1"/>
      <c r="G58" s="1"/>
      <c r="H58" s="1"/>
      <c r="I58" s="1"/>
      <c r="J58" s="1"/>
      <c r="K58" s="3"/>
      <c r="L58" s="3"/>
      <c r="M58" s="1"/>
      <c r="N58" s="23"/>
      <c r="O58" s="23"/>
      <c r="P58" s="23"/>
      <c r="Q58" s="23"/>
      <c r="R58" s="23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3"/>
      <c r="AJ58" s="3"/>
      <c r="AK58" s="3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</row>
    <row r="59" spans="1:68" x14ac:dyDescent="0.25">
      <c r="K59" s="3"/>
      <c r="L59" s="3"/>
      <c r="AI59" s="3"/>
      <c r="AJ59" s="3"/>
      <c r="AK59" s="3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</row>
    <row r="60" spans="1:68" x14ac:dyDescent="0.25">
      <c r="K60" s="3"/>
      <c r="L60" s="3"/>
      <c r="AI60" s="3"/>
      <c r="AJ60" s="3"/>
      <c r="AK60" s="3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</row>
    <row r="61" spans="1:68" x14ac:dyDescent="0.25">
      <c r="K61" s="3"/>
      <c r="L61" s="3"/>
      <c r="AI61" s="3"/>
      <c r="AJ61" s="3"/>
      <c r="AK61" s="3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</row>
    <row r="62" spans="1:68" x14ac:dyDescent="0.25">
      <c r="K62" s="3"/>
      <c r="L62" s="3"/>
      <c r="AI62" s="3"/>
      <c r="AJ62" s="3"/>
      <c r="AK62" s="3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</row>
    <row r="63" spans="1:68" x14ac:dyDescent="0.25">
      <c r="K63" s="3"/>
      <c r="L63" s="3"/>
      <c r="AI63" s="3"/>
      <c r="AJ63" s="3"/>
      <c r="AK63" s="3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</row>
    <row r="64" spans="1:68" x14ac:dyDescent="0.25">
      <c r="K64" s="3"/>
      <c r="L64" s="3"/>
      <c r="AI64" s="3"/>
      <c r="AJ64" s="3"/>
      <c r="AK64" s="3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</row>
    <row r="65" spans="2:68" x14ac:dyDescent="0.25">
      <c r="K65" s="3"/>
      <c r="L65" s="3"/>
      <c r="AI65" s="3"/>
      <c r="AJ65" s="3"/>
      <c r="AK65" s="3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</row>
    <row r="66" spans="2:68" x14ac:dyDescent="0.25">
      <c r="K66" s="3"/>
      <c r="L66" s="3"/>
      <c r="AI66" s="3"/>
      <c r="AJ66" s="3"/>
      <c r="AK66" s="3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</row>
    <row r="67" spans="2:68" x14ac:dyDescent="0.25">
      <c r="K67" s="3"/>
      <c r="L67" s="3"/>
      <c r="AI67" s="3"/>
      <c r="AJ67" s="3"/>
      <c r="AK67" s="3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</row>
    <row r="68" spans="2:68" x14ac:dyDescent="0.25">
      <c r="K68" s="3"/>
      <c r="L68" s="3"/>
      <c r="AI68" s="3"/>
      <c r="AJ68" s="3"/>
      <c r="AK68" s="3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</row>
    <row r="69" spans="2:68" x14ac:dyDescent="0.25">
      <c r="K69" s="3"/>
      <c r="L69" s="3"/>
      <c r="AI69" s="3"/>
      <c r="AJ69" s="3"/>
      <c r="AK69" s="3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</row>
    <row r="70" spans="2:68" x14ac:dyDescent="0.25">
      <c r="K70" s="3"/>
      <c r="L70" s="3"/>
      <c r="AI70" s="3"/>
      <c r="AJ70" s="3"/>
      <c r="AK70" s="3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</row>
    <row r="71" spans="2:68" x14ac:dyDescent="0.25">
      <c r="K71" s="3"/>
      <c r="L71" s="3"/>
      <c r="AI71" s="3"/>
      <c r="AJ71" s="3"/>
      <c r="AK71" s="3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</row>
    <row r="72" spans="2:68" x14ac:dyDescent="0.25">
      <c r="K72" s="3"/>
      <c r="L72" s="3"/>
      <c r="AI72" s="3"/>
      <c r="AJ72" s="3"/>
      <c r="AK72" s="3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</row>
    <row r="73" spans="2:68" x14ac:dyDescent="0.25">
      <c r="K73" s="3"/>
      <c r="L73" s="3"/>
      <c r="AI73" s="3"/>
      <c r="AJ73" s="3"/>
      <c r="AK73" s="3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</row>
    <row r="74" spans="2:68" x14ac:dyDescent="0.25">
      <c r="K74" s="3"/>
      <c r="L74" s="3"/>
      <c r="AI74" s="3"/>
      <c r="AJ74" s="3"/>
      <c r="AK74" s="3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</row>
    <row r="75" spans="2:68" x14ac:dyDescent="0.25">
      <c r="B75" s="1"/>
      <c r="C75" s="5"/>
      <c r="D75" s="5"/>
      <c r="E75" s="5"/>
      <c r="F75" s="5"/>
      <c r="G75" s="5"/>
      <c r="H75" s="5"/>
      <c r="I75" s="5"/>
      <c r="J75" s="5"/>
      <c r="K75" s="3"/>
      <c r="L75" s="3"/>
      <c r="AI75" s="3"/>
      <c r="AJ75" s="3"/>
      <c r="AK75" s="3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</row>
    <row r="76" spans="2:68" x14ac:dyDescent="0.25">
      <c r="B76" s="1"/>
      <c r="C76" s="5"/>
      <c r="D76" s="5"/>
      <c r="E76" s="5"/>
      <c r="F76" s="5"/>
      <c r="G76" s="5"/>
      <c r="H76" s="5"/>
      <c r="I76" s="5"/>
      <c r="J76" s="5"/>
      <c r="K76" s="3"/>
      <c r="L76" s="3"/>
      <c r="M76" s="3"/>
      <c r="N76" s="2"/>
      <c r="O76" s="2"/>
      <c r="P76" s="2"/>
      <c r="Q76" s="2"/>
      <c r="R76" s="2"/>
      <c r="S76" s="17"/>
      <c r="T76" s="17"/>
      <c r="U76" s="17"/>
      <c r="V76" s="17"/>
      <c r="W76" s="17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</row>
    <row r="77" spans="2:68" x14ac:dyDescent="0.25">
      <c r="B77" s="1"/>
      <c r="C77" s="5"/>
      <c r="D77" s="5"/>
      <c r="E77" s="5"/>
      <c r="F77" s="5"/>
      <c r="G77" s="5"/>
      <c r="H77" s="5"/>
      <c r="I77" s="5"/>
      <c r="J77" s="5"/>
      <c r="K77" s="3"/>
      <c r="L77" s="3"/>
      <c r="M77" s="3"/>
      <c r="N77" s="2"/>
      <c r="O77" s="2"/>
      <c r="P77" s="2"/>
      <c r="Q77" s="2"/>
      <c r="R77" s="2"/>
      <c r="S77" s="17"/>
      <c r="T77" s="17"/>
      <c r="U77" s="17"/>
      <c r="V77" s="17"/>
      <c r="W77" s="17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</row>
    <row r="78" spans="2:68" x14ac:dyDescent="0.25">
      <c r="B78" s="1"/>
      <c r="C78" s="5"/>
      <c r="D78" s="5"/>
      <c r="E78" s="5"/>
      <c r="F78" s="5"/>
      <c r="G78" s="5"/>
      <c r="H78" s="5"/>
      <c r="I78" s="5"/>
      <c r="J78" s="5"/>
      <c r="K78" s="3"/>
      <c r="L78" s="3"/>
      <c r="M78" s="3"/>
      <c r="N78" s="2"/>
      <c r="O78" s="2"/>
      <c r="P78" s="2"/>
      <c r="Q78" s="2"/>
      <c r="R78" s="2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</row>
    <row r="79" spans="2:68" x14ac:dyDescent="0.25">
      <c r="B79" s="1"/>
      <c r="C79" s="5"/>
      <c r="D79" s="5"/>
      <c r="E79" s="5"/>
      <c r="F79" s="5"/>
      <c r="G79" s="5"/>
      <c r="H79" s="5"/>
      <c r="I79" s="5"/>
      <c r="J79" s="5"/>
      <c r="K79" s="3"/>
      <c r="L79" s="3"/>
      <c r="M79" s="3"/>
      <c r="N79" s="2"/>
      <c r="O79" s="2"/>
      <c r="P79" s="2"/>
      <c r="Q79" s="2"/>
      <c r="R79" s="2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</row>
    <row r="80" spans="2:68" x14ac:dyDescent="0.25">
      <c r="B80" s="1"/>
      <c r="C80" s="5"/>
      <c r="D80" s="5"/>
      <c r="E80" s="5"/>
      <c r="F80" s="5"/>
      <c r="G80" s="5"/>
      <c r="H80" s="5"/>
      <c r="I80" s="5"/>
      <c r="J80" s="5"/>
      <c r="K80" s="3"/>
      <c r="L80" s="3"/>
      <c r="M80" s="3"/>
      <c r="N80" s="2"/>
      <c r="O80" s="2"/>
      <c r="P80" s="2"/>
      <c r="Q80" s="2"/>
      <c r="R80" s="2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</row>
    <row r="81" spans="2:68" x14ac:dyDescent="0.25">
      <c r="B81" s="1"/>
      <c r="C81" s="5"/>
      <c r="D81" s="5"/>
      <c r="E81" s="5"/>
      <c r="F81" s="5"/>
      <c r="G81" s="5"/>
      <c r="H81" s="5"/>
      <c r="I81" s="5"/>
      <c r="J81" s="5"/>
      <c r="K81" s="3"/>
      <c r="L81" s="3"/>
      <c r="M81" s="3"/>
      <c r="N81" s="2"/>
      <c r="O81" s="2"/>
      <c r="P81" s="2"/>
      <c r="Q81" s="2"/>
      <c r="R81" s="2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</row>
    <row r="82" spans="2:68" x14ac:dyDescent="0.25">
      <c r="B82" s="1"/>
      <c r="C82" s="5"/>
      <c r="D82" s="5"/>
      <c r="E82" s="5"/>
      <c r="F82" s="5"/>
      <c r="G82" s="5"/>
      <c r="H82" s="5"/>
      <c r="I82" s="5"/>
      <c r="J82" s="5"/>
      <c r="K82" s="3"/>
      <c r="L82" s="3"/>
      <c r="M82" s="3"/>
      <c r="N82" s="2"/>
      <c r="O82" s="2"/>
      <c r="P82" s="2"/>
      <c r="Q82" s="2"/>
      <c r="R82" s="2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</row>
    <row r="83" spans="2:68" x14ac:dyDescent="0.25">
      <c r="B83" s="1"/>
      <c r="C83" s="5"/>
      <c r="D83" s="5"/>
      <c r="E83" s="5"/>
      <c r="F83" s="5"/>
      <c r="G83" s="5"/>
      <c r="H83" s="5"/>
      <c r="I83" s="5"/>
      <c r="J83" s="5"/>
      <c r="K83" s="3"/>
      <c r="L83" s="3"/>
      <c r="M83" s="3"/>
      <c r="N83" s="2"/>
      <c r="O83" s="2"/>
      <c r="P83" s="2"/>
      <c r="Q83" s="2"/>
      <c r="R83" s="2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</row>
    <row r="84" spans="2:68" x14ac:dyDescent="0.25">
      <c r="B84" s="1"/>
      <c r="C84" s="5"/>
      <c r="D84" s="5"/>
      <c r="E84" s="5"/>
      <c r="F84" s="5"/>
      <c r="G84" s="5"/>
      <c r="H84" s="5"/>
      <c r="I84" s="5"/>
      <c r="J84" s="5"/>
      <c r="K84" s="3"/>
      <c r="L84" s="3"/>
      <c r="M84" s="3"/>
      <c r="N84" s="2"/>
      <c r="O84" s="2"/>
      <c r="P84" s="2"/>
      <c r="Q84" s="2"/>
      <c r="R84" s="2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</row>
    <row r="85" spans="2:68" x14ac:dyDescent="0.25">
      <c r="B85" s="1"/>
      <c r="C85" s="5"/>
      <c r="D85" s="5"/>
      <c r="E85" s="5"/>
      <c r="F85" s="5"/>
      <c r="G85" s="5"/>
      <c r="H85" s="5"/>
      <c r="I85" s="5"/>
      <c r="J85" s="5"/>
      <c r="K85" s="3"/>
      <c r="L85" s="3"/>
      <c r="M85" s="3"/>
      <c r="N85" s="2"/>
      <c r="O85" s="2"/>
      <c r="P85" s="2"/>
      <c r="Q85" s="2"/>
      <c r="R85" s="2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</row>
    <row r="86" spans="2:68" x14ac:dyDescent="0.25">
      <c r="B86" s="1"/>
      <c r="C86" s="5"/>
      <c r="D86" s="5"/>
      <c r="E86" s="5"/>
      <c r="F86" s="5"/>
      <c r="G86" s="5"/>
      <c r="H86" s="5"/>
      <c r="I86" s="5"/>
      <c r="J86" s="5"/>
      <c r="K86" s="3"/>
      <c r="L86" s="3"/>
      <c r="M86" s="3"/>
      <c r="N86" s="2"/>
      <c r="O86" s="2"/>
      <c r="P86" s="2"/>
      <c r="Q86" s="2"/>
      <c r="R86" s="2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</row>
    <row r="87" spans="2:68" x14ac:dyDescent="0.25">
      <c r="B87" s="1"/>
      <c r="C87" s="5"/>
      <c r="D87" s="5"/>
      <c r="E87" s="5"/>
      <c r="F87" s="5"/>
      <c r="G87" s="5"/>
      <c r="H87" s="5"/>
      <c r="I87" s="5"/>
      <c r="J87" s="5"/>
      <c r="K87" s="3"/>
      <c r="L87" s="3"/>
      <c r="M87" s="3"/>
      <c r="N87" s="2"/>
      <c r="O87" s="2"/>
      <c r="P87" s="2"/>
      <c r="Q87" s="2"/>
      <c r="R87" s="2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</row>
    <row r="88" spans="2:68" x14ac:dyDescent="0.25">
      <c r="B88" s="1"/>
      <c r="C88" s="5"/>
      <c r="D88" s="5"/>
      <c r="E88" s="5"/>
      <c r="F88" s="5"/>
      <c r="G88" s="5"/>
      <c r="H88" s="5"/>
      <c r="I88" s="5"/>
      <c r="J88" s="5"/>
      <c r="K88" s="3"/>
      <c r="L88" s="3"/>
      <c r="M88" s="3"/>
      <c r="N88" s="2"/>
      <c r="O88" s="2"/>
      <c r="P88" s="2"/>
      <c r="Q88" s="2"/>
      <c r="R88" s="2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</row>
    <row r="89" spans="2:68" x14ac:dyDescent="0.25">
      <c r="B89" s="1"/>
      <c r="C89" s="5"/>
      <c r="D89" s="5"/>
      <c r="E89" s="5"/>
      <c r="F89" s="5"/>
      <c r="G89" s="5"/>
      <c r="H89" s="5"/>
      <c r="I89" s="5"/>
      <c r="J89" s="5"/>
      <c r="K89" s="3"/>
      <c r="L89" s="3"/>
      <c r="M89" s="3"/>
      <c r="N89" s="2"/>
      <c r="O89" s="2"/>
      <c r="P89" s="2"/>
      <c r="Q89" s="2"/>
      <c r="R89" s="2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 spans="2:68" x14ac:dyDescent="0.25">
      <c r="B90" s="1"/>
      <c r="C90" s="5"/>
      <c r="D90" s="5"/>
      <c r="E90" s="5"/>
      <c r="F90" s="5"/>
      <c r="G90" s="5"/>
      <c r="H90" s="5"/>
      <c r="I90" s="5"/>
      <c r="J90" s="5"/>
      <c r="K90" s="3"/>
      <c r="L90" s="3"/>
      <c r="M90" s="3"/>
      <c r="N90" s="2"/>
      <c r="O90" s="2"/>
      <c r="P90" s="2"/>
      <c r="Q90" s="2"/>
      <c r="R90" s="2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</row>
    <row r="91" spans="2:68" x14ac:dyDescent="0.25">
      <c r="B91" s="1"/>
      <c r="C91" s="5"/>
      <c r="D91" s="5"/>
      <c r="E91" s="5"/>
      <c r="F91" s="5"/>
      <c r="G91" s="5"/>
      <c r="H91" s="5"/>
      <c r="I91" s="5"/>
      <c r="J91" s="5"/>
      <c r="K91" s="3"/>
      <c r="L91" s="3"/>
      <c r="M91" s="3"/>
      <c r="N91" s="2"/>
      <c r="O91" s="2"/>
      <c r="P91" s="2"/>
      <c r="Q91" s="2"/>
      <c r="R91" s="2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</row>
    <row r="92" spans="2:68" x14ac:dyDescent="0.25">
      <c r="B92" s="1"/>
      <c r="C92" s="37"/>
      <c r="D92" s="37"/>
      <c r="E92" s="37"/>
      <c r="F92" s="37"/>
      <c r="G92" s="37"/>
      <c r="H92" s="37"/>
      <c r="I92" s="37"/>
      <c r="J92" s="37"/>
      <c r="K92" s="3"/>
      <c r="L92" s="3"/>
      <c r="M92" s="3"/>
      <c r="N92" s="2"/>
      <c r="O92" s="2"/>
      <c r="P92" s="2"/>
      <c r="Q92" s="2"/>
      <c r="R92" s="2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</row>
    <row r="93" spans="2:68" x14ac:dyDescent="0.25">
      <c r="B93" s="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2"/>
      <c r="O93" s="2"/>
      <c r="P93" s="2"/>
      <c r="Q93" s="2"/>
      <c r="R93" s="2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</row>
    <row r="94" spans="2:68" x14ac:dyDescent="0.25">
      <c r="B94" s="1"/>
      <c r="C94" s="170"/>
      <c r="D94" s="170"/>
      <c r="E94" s="3"/>
      <c r="F94" s="170"/>
      <c r="G94" s="170"/>
      <c r="H94" s="3"/>
      <c r="I94" s="170"/>
      <c r="J94" s="170"/>
      <c r="K94" s="3"/>
      <c r="L94" s="3"/>
      <c r="M94" s="3"/>
      <c r="N94" s="2"/>
      <c r="O94" s="2"/>
      <c r="P94" s="2"/>
      <c r="Q94" s="2"/>
      <c r="R94" s="2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</row>
    <row r="95" spans="2:68" x14ac:dyDescent="0.25">
      <c r="B95" s="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2"/>
      <c r="O95" s="2"/>
      <c r="P95" s="2"/>
      <c r="Q95" s="2"/>
      <c r="R95" s="2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</row>
    <row r="96" spans="2:68" x14ac:dyDescent="0.25">
      <c r="B96" s="1"/>
      <c r="C96" s="20"/>
      <c r="D96" s="20"/>
      <c r="E96" s="3"/>
      <c r="F96" s="20"/>
      <c r="G96" s="20"/>
      <c r="H96" s="3"/>
      <c r="I96" s="20"/>
      <c r="J96" s="20"/>
      <c r="K96" s="3"/>
      <c r="L96" s="3"/>
      <c r="M96" s="3"/>
      <c r="N96" s="2"/>
      <c r="O96" s="2"/>
      <c r="P96" s="2"/>
      <c r="Q96" s="2"/>
      <c r="R96" s="2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</row>
    <row r="97" spans="2:68" x14ac:dyDescent="0.25">
      <c r="B97" s="1"/>
      <c r="C97" s="20"/>
      <c r="D97" s="20"/>
      <c r="E97" s="3"/>
      <c r="F97" s="20"/>
      <c r="G97" s="20"/>
      <c r="H97" s="3"/>
      <c r="I97" s="20"/>
      <c r="J97" s="20"/>
      <c r="K97" s="3"/>
      <c r="L97" s="3"/>
      <c r="M97" s="3"/>
      <c r="N97" s="2"/>
      <c r="O97" s="2"/>
      <c r="P97" s="2"/>
      <c r="Q97" s="2"/>
      <c r="R97" s="2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</row>
    <row r="98" spans="2:68" x14ac:dyDescent="0.25">
      <c r="B98" s="1"/>
      <c r="C98" s="20"/>
      <c r="D98" s="20"/>
      <c r="E98" s="3"/>
      <c r="F98" s="20"/>
      <c r="G98" s="20"/>
      <c r="H98" s="3"/>
      <c r="I98" s="20"/>
      <c r="J98" s="20"/>
      <c r="K98" s="3"/>
      <c r="L98" s="3"/>
      <c r="M98" s="3"/>
      <c r="N98" s="2"/>
      <c r="O98" s="2"/>
      <c r="P98" s="2"/>
      <c r="Q98" s="2"/>
      <c r="R98" s="2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</row>
    <row r="99" spans="2:68" x14ac:dyDescent="0.25">
      <c r="B99" s="1"/>
      <c r="C99" s="20"/>
      <c r="D99" s="20"/>
      <c r="E99" s="3"/>
      <c r="F99" s="20"/>
      <c r="G99" s="20"/>
      <c r="H99" s="3"/>
      <c r="I99" s="20"/>
      <c r="J99" s="20"/>
      <c r="K99" s="3"/>
      <c r="L99" s="3"/>
      <c r="M99" s="3"/>
      <c r="N99" s="2"/>
      <c r="O99" s="2"/>
      <c r="P99" s="2"/>
      <c r="Q99" s="2"/>
      <c r="R99" s="2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</row>
    <row r="100" spans="2:68" x14ac:dyDescent="0.25">
      <c r="B100" s="1"/>
      <c r="C100" s="20"/>
      <c r="D100" s="20"/>
      <c r="E100" s="3"/>
      <c r="F100" s="20"/>
      <c r="G100" s="20"/>
      <c r="H100" s="3"/>
      <c r="I100" s="20"/>
      <c r="J100" s="20"/>
      <c r="K100" s="3"/>
      <c r="L100" s="3"/>
      <c r="M100" s="3"/>
      <c r="N100" s="2"/>
      <c r="O100" s="2"/>
      <c r="P100" s="2"/>
      <c r="Q100" s="2"/>
      <c r="R100" s="2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</row>
    <row r="101" spans="2:68" x14ac:dyDescent="0.25">
      <c r="B101" s="1"/>
      <c r="C101" s="20"/>
      <c r="D101" s="20"/>
      <c r="E101" s="3"/>
      <c r="F101" s="20"/>
      <c r="G101" s="20"/>
      <c r="H101" s="3"/>
      <c r="I101" s="20"/>
      <c r="J101" s="3"/>
      <c r="K101" s="3"/>
      <c r="L101" s="3"/>
      <c r="M101" s="3"/>
      <c r="N101" s="2"/>
      <c r="O101" s="2"/>
      <c r="P101" s="2"/>
      <c r="Q101" s="2"/>
      <c r="R101" s="2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</row>
    <row r="102" spans="2:68" x14ac:dyDescent="0.25">
      <c r="B102" s="1"/>
      <c r="C102" s="20"/>
      <c r="D102" s="20"/>
      <c r="E102" s="3"/>
      <c r="F102" s="20"/>
      <c r="G102" s="20"/>
      <c r="H102" s="3"/>
      <c r="I102" s="20"/>
      <c r="J102" s="20"/>
      <c r="K102" s="3"/>
      <c r="L102" s="3"/>
      <c r="M102" s="3"/>
      <c r="N102" s="2"/>
      <c r="O102" s="2"/>
      <c r="P102" s="2"/>
      <c r="Q102" s="2"/>
      <c r="R102" s="2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</row>
    <row r="103" spans="2:68" x14ac:dyDescent="0.25">
      <c r="B103" s="1"/>
      <c r="C103" s="20"/>
      <c r="D103" s="20"/>
      <c r="E103" s="3"/>
      <c r="F103" s="20"/>
      <c r="G103" s="20"/>
      <c r="H103" s="3"/>
      <c r="I103" s="20"/>
      <c r="J103" s="20"/>
      <c r="K103" s="3"/>
      <c r="L103" s="3"/>
      <c r="M103" s="3"/>
      <c r="N103" s="2"/>
      <c r="O103" s="2"/>
      <c r="P103" s="2"/>
      <c r="Q103" s="2"/>
      <c r="R103" s="2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</row>
    <row r="104" spans="2:68" x14ac:dyDescent="0.25">
      <c r="B104" s="1"/>
      <c r="C104" s="20"/>
      <c r="D104" s="20"/>
      <c r="E104" s="3"/>
      <c r="F104" s="20"/>
      <c r="G104" s="20"/>
      <c r="H104" s="3"/>
      <c r="I104" s="20"/>
      <c r="J104" s="20"/>
      <c r="K104" s="3"/>
      <c r="L104" s="3"/>
      <c r="M104" s="3"/>
      <c r="N104" s="2"/>
      <c r="O104" s="2"/>
      <c r="P104" s="2"/>
      <c r="Q104" s="2"/>
      <c r="R104" s="2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</row>
    <row r="105" spans="2:68" x14ac:dyDescent="0.25">
      <c r="B105" s="1"/>
      <c r="C105" s="20"/>
      <c r="D105" s="20"/>
      <c r="E105" s="3"/>
      <c r="F105" s="20"/>
      <c r="G105" s="20"/>
      <c r="H105" s="3"/>
      <c r="I105" s="20"/>
      <c r="J105" s="20"/>
      <c r="K105" s="3"/>
      <c r="L105" s="3"/>
      <c r="M105" s="3"/>
      <c r="N105" s="2"/>
      <c r="O105" s="2"/>
      <c r="P105" s="2"/>
      <c r="Q105" s="2"/>
      <c r="R105" s="2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</row>
    <row r="106" spans="2:68" x14ac:dyDescent="0.25">
      <c r="B106" s="1"/>
      <c r="C106" s="20"/>
      <c r="D106" s="20"/>
      <c r="E106" s="3"/>
      <c r="F106" s="20"/>
      <c r="G106" s="20"/>
      <c r="H106" s="3"/>
      <c r="I106" s="20"/>
      <c r="J106" s="20"/>
      <c r="K106" s="3"/>
      <c r="L106" s="3"/>
      <c r="M106" s="3"/>
      <c r="N106" s="2"/>
      <c r="O106" s="2"/>
      <c r="P106" s="2"/>
      <c r="Q106" s="2"/>
      <c r="R106" s="2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</row>
    <row r="107" spans="2:68" x14ac:dyDescent="0.25">
      <c r="B107" s="1"/>
      <c r="C107" s="20"/>
      <c r="D107" s="20"/>
      <c r="E107" s="3"/>
      <c r="F107" s="20"/>
      <c r="G107" s="20"/>
      <c r="H107" s="3"/>
      <c r="I107" s="20"/>
      <c r="J107" s="20"/>
      <c r="K107" s="3"/>
      <c r="L107" s="3"/>
      <c r="M107" s="3"/>
      <c r="N107" s="2"/>
      <c r="O107" s="2"/>
      <c r="P107" s="2"/>
      <c r="Q107" s="2"/>
      <c r="R107" s="2"/>
      <c r="S107" s="3"/>
      <c r="T107" s="3"/>
      <c r="U107" s="3"/>
      <c r="V107" s="39"/>
      <c r="W107" s="39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</row>
    <row r="108" spans="2:68" x14ac:dyDescent="0.25">
      <c r="B108" s="1"/>
      <c r="C108" s="20"/>
      <c r="D108" s="20"/>
      <c r="E108" s="3"/>
      <c r="F108" s="20"/>
      <c r="G108" s="20"/>
      <c r="H108" s="3"/>
      <c r="I108" s="20"/>
      <c r="J108" s="20"/>
      <c r="K108" s="3"/>
      <c r="L108" s="3"/>
      <c r="M108" s="3"/>
      <c r="N108" s="2"/>
      <c r="O108" s="2"/>
      <c r="P108" s="2"/>
      <c r="Q108" s="2"/>
      <c r="R108" s="2"/>
      <c r="S108" s="3"/>
      <c r="T108" s="3"/>
      <c r="U108" s="3"/>
      <c r="V108" s="39"/>
      <c r="W108" s="39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</row>
    <row r="109" spans="2:68" x14ac:dyDescent="0.25">
      <c r="B109" s="1"/>
      <c r="C109" s="20"/>
      <c r="D109" s="20"/>
      <c r="E109" s="3"/>
      <c r="F109" s="38"/>
      <c r="G109" s="38"/>
      <c r="H109" s="3"/>
      <c r="I109" s="20"/>
      <c r="J109" s="20"/>
      <c r="K109" s="3"/>
      <c r="L109" s="3"/>
      <c r="M109" s="3"/>
      <c r="N109" s="2"/>
      <c r="O109" s="2"/>
      <c r="P109" s="2"/>
      <c r="Q109" s="2"/>
      <c r="R109" s="2"/>
      <c r="S109" s="3"/>
      <c r="T109" s="3"/>
      <c r="U109" s="3"/>
      <c r="V109" s="39"/>
      <c r="W109" s="39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</row>
    <row r="110" spans="2:68" x14ac:dyDescent="0.25">
      <c r="B110" s="1"/>
      <c r="C110" s="38"/>
      <c r="D110" s="38"/>
      <c r="E110" s="3"/>
      <c r="F110" s="38"/>
      <c r="G110" s="38"/>
      <c r="H110" s="3"/>
      <c r="I110" s="38"/>
      <c r="J110" s="38"/>
      <c r="K110" s="3"/>
      <c r="L110" s="3"/>
      <c r="M110" s="3"/>
      <c r="N110" s="2"/>
      <c r="O110" s="2"/>
      <c r="P110" s="2"/>
      <c r="Q110" s="2"/>
      <c r="R110" s="2"/>
      <c r="S110" s="3"/>
      <c r="T110" s="3"/>
      <c r="U110" s="3"/>
      <c r="V110" s="39"/>
      <c r="W110" s="39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9"/>
      <c r="AK110" s="39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</row>
    <row r="111" spans="2:68" x14ac:dyDescent="0.25">
      <c r="B111" s="1"/>
      <c r="C111" s="38"/>
      <c r="D111" s="38"/>
      <c r="E111" s="3"/>
      <c r="F111" s="38"/>
      <c r="G111" s="38"/>
      <c r="H111" s="3"/>
      <c r="I111" s="38"/>
      <c r="J111" s="38"/>
      <c r="K111" s="3"/>
      <c r="L111" s="3"/>
      <c r="M111" s="3"/>
      <c r="N111" s="2"/>
      <c r="O111" s="2"/>
      <c r="P111" s="2"/>
      <c r="Q111" s="2"/>
      <c r="R111" s="2"/>
      <c r="S111" s="3"/>
      <c r="T111" s="3"/>
      <c r="U111" s="3"/>
      <c r="V111" s="39"/>
      <c r="W111" s="39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9"/>
      <c r="AK111" s="39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</row>
    <row r="112" spans="2:68" x14ac:dyDescent="0.25">
      <c r="B112" s="1"/>
      <c r="C112" s="20"/>
      <c r="D112" s="2"/>
      <c r="E112" s="3"/>
      <c r="F112" s="20"/>
      <c r="G112" s="2"/>
      <c r="H112" s="3"/>
      <c r="I112" s="20"/>
      <c r="J112" s="2"/>
      <c r="K112" s="3"/>
      <c r="L112" s="3"/>
      <c r="M112" s="3"/>
      <c r="N112" s="2"/>
      <c r="O112" s="2"/>
      <c r="P112" s="2"/>
      <c r="Q112" s="2"/>
      <c r="R112" s="2"/>
      <c r="S112" s="3"/>
      <c r="T112" s="3"/>
      <c r="U112" s="3"/>
      <c r="V112" s="39"/>
      <c r="W112" s="39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9"/>
      <c r="AK112" s="39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</row>
    <row r="113" spans="2:68" x14ac:dyDescent="0.25">
      <c r="B113" s="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2"/>
      <c r="O113" s="2"/>
      <c r="P113" s="2"/>
      <c r="Q113" s="2"/>
      <c r="R113" s="2"/>
      <c r="S113" s="3"/>
      <c r="T113" s="3"/>
      <c r="U113" s="3"/>
      <c r="V113" s="39"/>
      <c r="W113" s="39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9"/>
      <c r="AK113" s="39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 spans="2:68" x14ac:dyDescent="0.25">
      <c r="B114" s="1"/>
      <c r="C114" s="170"/>
      <c r="D114" s="170"/>
      <c r="E114" s="3"/>
      <c r="F114" s="170"/>
      <c r="G114" s="170"/>
      <c r="H114" s="3"/>
      <c r="I114" s="170"/>
      <c r="J114" s="170"/>
      <c r="K114" s="3"/>
      <c r="L114" s="3"/>
      <c r="M114" s="3"/>
      <c r="N114" s="2"/>
      <c r="O114" s="2"/>
      <c r="P114" s="2"/>
      <c r="Q114" s="2"/>
      <c r="R114" s="2"/>
      <c r="S114" s="3"/>
      <c r="T114" s="3"/>
      <c r="U114" s="3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</row>
    <row r="115" spans="2:68" x14ac:dyDescent="0.25">
      <c r="B115" s="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2"/>
      <c r="O115" s="2"/>
      <c r="P115" s="2"/>
      <c r="Q115" s="2"/>
      <c r="R115" s="2"/>
      <c r="S115" s="3"/>
      <c r="T115" s="3"/>
      <c r="U115" s="3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16" spans="2:68" x14ac:dyDescent="0.25">
      <c r="B116" s="1"/>
      <c r="C116" s="20"/>
      <c r="D116" s="20"/>
      <c r="E116" s="3"/>
      <c r="F116" s="20"/>
      <c r="G116" s="20"/>
      <c r="H116" s="3"/>
      <c r="I116" s="20"/>
      <c r="J116" s="20"/>
      <c r="K116" s="3"/>
      <c r="L116" s="3"/>
      <c r="M116" s="3"/>
      <c r="N116" s="2"/>
      <c r="O116" s="2"/>
      <c r="P116" s="2"/>
      <c r="Q116" s="2"/>
      <c r="R116" s="2"/>
      <c r="S116" s="3"/>
      <c r="T116" s="3"/>
      <c r="U116" s="3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</row>
    <row r="117" spans="2:68" x14ac:dyDescent="0.25">
      <c r="B117" s="1"/>
      <c r="C117" s="20"/>
      <c r="D117" s="20"/>
      <c r="E117" s="3"/>
      <c r="F117" s="20"/>
      <c r="G117" s="20"/>
      <c r="H117" s="3"/>
      <c r="I117" s="20"/>
      <c r="J117" s="20"/>
      <c r="K117" s="3"/>
      <c r="L117" s="3"/>
      <c r="M117" s="3"/>
      <c r="N117" s="2"/>
      <c r="O117" s="2"/>
      <c r="P117" s="2"/>
      <c r="Q117" s="2"/>
      <c r="R117" s="2"/>
      <c r="S117" s="3"/>
      <c r="T117" s="3"/>
      <c r="U117" s="3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</row>
    <row r="118" spans="2:68" x14ac:dyDescent="0.25">
      <c r="B118" s="1"/>
      <c r="C118" s="20"/>
      <c r="D118" s="20"/>
      <c r="E118" s="3"/>
      <c r="F118" s="20"/>
      <c r="G118" s="20"/>
      <c r="H118" s="3"/>
      <c r="I118" s="20"/>
      <c r="J118" s="20"/>
      <c r="K118" s="3"/>
      <c r="L118" s="3"/>
      <c r="M118" s="3"/>
      <c r="N118" s="2"/>
      <c r="O118" s="2"/>
      <c r="P118" s="2"/>
      <c r="Q118" s="2"/>
      <c r="R118" s="2"/>
      <c r="S118" s="3"/>
      <c r="T118" s="3"/>
      <c r="U118" s="3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</row>
    <row r="119" spans="2:68" x14ac:dyDescent="0.25">
      <c r="B119" s="1"/>
      <c r="C119" s="20"/>
      <c r="D119" s="20"/>
      <c r="E119" s="3"/>
      <c r="F119" s="20"/>
      <c r="G119" s="20"/>
      <c r="H119" s="3"/>
      <c r="I119" s="20"/>
      <c r="J119" s="20"/>
      <c r="K119" s="3"/>
      <c r="L119" s="3"/>
      <c r="M119" s="3"/>
      <c r="N119" s="2"/>
      <c r="O119" s="2"/>
      <c r="P119" s="2"/>
      <c r="Q119" s="2"/>
      <c r="R119" s="2"/>
      <c r="S119" s="3"/>
      <c r="T119" s="3"/>
      <c r="U119" s="3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</row>
    <row r="120" spans="2:68" x14ac:dyDescent="0.25">
      <c r="B120" s="1"/>
      <c r="C120" s="20"/>
      <c r="D120" s="20"/>
      <c r="E120" s="3"/>
      <c r="F120" s="20"/>
      <c r="G120" s="20"/>
      <c r="H120" s="3"/>
      <c r="I120" s="20"/>
      <c r="J120" s="20"/>
      <c r="K120" s="3"/>
      <c r="L120" s="3"/>
      <c r="M120" s="3"/>
      <c r="N120" s="2"/>
      <c r="O120" s="2"/>
      <c r="P120" s="2"/>
      <c r="Q120" s="2"/>
      <c r="R120" s="2"/>
      <c r="S120" s="3"/>
      <c r="T120" s="3"/>
      <c r="U120" s="3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</row>
    <row r="121" spans="2:68" x14ac:dyDescent="0.25">
      <c r="B121" s="1"/>
      <c r="C121" s="20"/>
      <c r="D121" s="20"/>
      <c r="E121" s="3"/>
      <c r="F121" s="20"/>
      <c r="G121" s="20"/>
      <c r="H121" s="3"/>
      <c r="I121" s="20"/>
      <c r="J121" s="20"/>
      <c r="K121" s="3"/>
      <c r="L121" s="3"/>
      <c r="M121" s="3"/>
      <c r="N121" s="2"/>
      <c r="O121" s="2"/>
      <c r="P121" s="2"/>
      <c r="Q121" s="2"/>
      <c r="R121" s="2"/>
      <c r="S121" s="3"/>
      <c r="T121" s="3"/>
      <c r="U121" s="3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</row>
    <row r="122" spans="2:68" x14ac:dyDescent="0.25">
      <c r="B122" s="1"/>
      <c r="C122" s="20"/>
      <c r="D122" s="20"/>
      <c r="E122" s="3"/>
      <c r="F122" s="20"/>
      <c r="G122" s="20"/>
      <c r="H122" s="3"/>
      <c r="I122" s="20"/>
      <c r="J122" s="20"/>
      <c r="K122" s="3"/>
      <c r="L122" s="3"/>
      <c r="M122" s="3"/>
      <c r="N122" s="2"/>
      <c r="O122" s="2"/>
      <c r="P122" s="2"/>
      <c r="Q122" s="2"/>
      <c r="R122" s="2"/>
      <c r="S122" s="3"/>
      <c r="T122" s="3"/>
      <c r="U122" s="3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</row>
    <row r="123" spans="2:68" x14ac:dyDescent="0.25">
      <c r="B123" s="1"/>
      <c r="C123" s="20"/>
      <c r="D123" s="20"/>
      <c r="E123" s="3"/>
      <c r="F123" s="20"/>
      <c r="G123" s="20"/>
      <c r="H123" s="3"/>
      <c r="I123" s="20"/>
      <c r="J123" s="20"/>
      <c r="K123" s="3"/>
      <c r="L123" s="3"/>
      <c r="M123" s="3"/>
      <c r="N123" s="2"/>
      <c r="O123" s="2"/>
      <c r="P123" s="2"/>
      <c r="Q123" s="2"/>
      <c r="R123" s="2"/>
      <c r="S123" s="3"/>
      <c r="T123" s="3"/>
      <c r="U123" s="3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</row>
    <row r="124" spans="2:68" x14ac:dyDescent="0.25">
      <c r="B124" s="1"/>
      <c r="C124" s="20"/>
      <c r="D124" s="20"/>
      <c r="E124" s="3"/>
      <c r="F124" s="20"/>
      <c r="G124" s="20"/>
      <c r="H124" s="3"/>
      <c r="I124" s="20"/>
      <c r="J124" s="20"/>
      <c r="K124" s="3"/>
      <c r="L124" s="3"/>
      <c r="M124" s="3"/>
      <c r="N124" s="2"/>
      <c r="O124" s="2"/>
      <c r="P124" s="2"/>
      <c r="Q124" s="2"/>
      <c r="R124" s="2"/>
      <c r="S124" s="3"/>
      <c r="T124" s="3"/>
      <c r="U124" s="3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</row>
    <row r="125" spans="2:68" x14ac:dyDescent="0.25">
      <c r="B125" s="1"/>
      <c r="C125" s="20"/>
      <c r="D125" s="20"/>
      <c r="E125" s="3"/>
      <c r="F125" s="20"/>
      <c r="G125" s="20"/>
      <c r="H125" s="3"/>
      <c r="I125" s="20"/>
      <c r="J125" s="20"/>
      <c r="K125" s="3"/>
      <c r="L125" s="3"/>
      <c r="M125" s="3"/>
      <c r="N125" s="2"/>
      <c r="O125" s="2"/>
      <c r="P125" s="2"/>
      <c r="Q125" s="2"/>
      <c r="R125" s="2"/>
      <c r="S125" s="3"/>
      <c r="T125" s="3"/>
      <c r="U125" s="3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</row>
    <row r="126" spans="2:68" x14ac:dyDescent="0.25">
      <c r="B126" s="1"/>
      <c r="C126" s="20"/>
      <c r="D126" s="20"/>
      <c r="E126" s="3"/>
      <c r="F126" s="20"/>
      <c r="G126" s="20"/>
      <c r="H126" s="3"/>
      <c r="I126" s="20"/>
      <c r="J126" s="20"/>
      <c r="K126" s="3"/>
      <c r="L126" s="3"/>
      <c r="M126" s="3"/>
      <c r="N126" s="2"/>
      <c r="O126" s="2"/>
      <c r="P126" s="2"/>
      <c r="Q126" s="2"/>
      <c r="R126" s="2"/>
      <c r="S126" s="3"/>
      <c r="T126" s="3"/>
      <c r="U126" s="3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</row>
    <row r="127" spans="2:68" x14ac:dyDescent="0.25">
      <c r="B127" s="1"/>
      <c r="C127" s="20"/>
      <c r="D127" s="20"/>
      <c r="E127" s="3"/>
      <c r="F127" s="20"/>
      <c r="G127" s="20"/>
      <c r="H127" s="3"/>
      <c r="I127" s="38"/>
      <c r="J127" s="38"/>
      <c r="K127" s="3"/>
      <c r="L127" s="3"/>
      <c r="M127" s="3"/>
      <c r="N127" s="2"/>
      <c r="O127" s="2"/>
      <c r="P127" s="2"/>
      <c r="Q127" s="2"/>
      <c r="R127" s="2"/>
      <c r="S127" s="3"/>
      <c r="T127" s="3"/>
      <c r="U127" s="3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</row>
    <row r="128" spans="2:68" x14ac:dyDescent="0.25">
      <c r="B128" s="1"/>
      <c r="C128" s="20"/>
      <c r="D128" s="20"/>
      <c r="E128" s="3"/>
      <c r="F128" s="20"/>
      <c r="G128" s="20"/>
      <c r="H128" s="3"/>
      <c r="I128" s="38"/>
      <c r="J128" s="38"/>
      <c r="K128" s="3"/>
      <c r="L128" s="3"/>
      <c r="M128" s="3"/>
      <c r="N128" s="2"/>
      <c r="O128" s="2"/>
      <c r="P128" s="2"/>
      <c r="Q128" s="2"/>
      <c r="R128" s="2"/>
      <c r="S128" s="3"/>
      <c r="T128" s="3"/>
      <c r="U128" s="3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</row>
    <row r="129" spans="2:68" x14ac:dyDescent="0.25">
      <c r="B129" s="1"/>
      <c r="C129" s="20"/>
      <c r="D129" s="20"/>
      <c r="E129" s="3"/>
      <c r="F129" s="20"/>
      <c r="G129" s="20"/>
      <c r="H129" s="3"/>
      <c r="I129" s="38"/>
      <c r="J129" s="38"/>
      <c r="K129" s="3"/>
      <c r="L129" s="3"/>
      <c r="M129" s="3"/>
      <c r="N129" s="2"/>
      <c r="O129" s="2"/>
      <c r="P129" s="2"/>
      <c r="Q129" s="2"/>
      <c r="R129" s="2"/>
      <c r="S129" s="3"/>
      <c r="T129" s="3"/>
      <c r="U129" s="3"/>
      <c r="V129" s="3"/>
      <c r="W129" s="3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</row>
    <row r="130" spans="2:68" x14ac:dyDescent="0.25">
      <c r="B130" s="1"/>
      <c r="C130" s="20"/>
      <c r="D130" s="20"/>
      <c r="E130" s="3"/>
      <c r="F130" s="38"/>
      <c r="G130" s="38"/>
      <c r="H130" s="3"/>
      <c r="I130" s="38"/>
      <c r="J130" s="38"/>
      <c r="K130" s="3"/>
      <c r="L130" s="3"/>
      <c r="M130" s="3"/>
      <c r="N130" s="2"/>
      <c r="O130" s="2"/>
      <c r="P130" s="2"/>
      <c r="Q130" s="2"/>
      <c r="R130" s="2"/>
      <c r="S130" s="3"/>
      <c r="T130" s="3"/>
      <c r="U130" s="3"/>
      <c r="V130" s="3"/>
      <c r="W130" s="3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</row>
    <row r="131" spans="2:68" x14ac:dyDescent="0.25">
      <c r="B131" s="1"/>
      <c r="C131" s="20"/>
      <c r="D131" s="20"/>
      <c r="E131" s="3"/>
      <c r="F131" s="38"/>
      <c r="G131" s="38"/>
      <c r="H131" s="3"/>
      <c r="I131" s="38"/>
      <c r="J131" s="38"/>
      <c r="K131" s="3"/>
      <c r="L131" s="3"/>
      <c r="M131" s="3"/>
      <c r="N131" s="2"/>
      <c r="O131" s="2"/>
      <c r="P131" s="2"/>
      <c r="Q131" s="2"/>
      <c r="R131" s="2"/>
      <c r="S131" s="3"/>
      <c r="T131" s="3"/>
      <c r="U131" s="3"/>
      <c r="V131" s="3"/>
      <c r="W131" s="3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</row>
    <row r="132" spans="2:68" x14ac:dyDescent="0.25">
      <c r="B132" s="1"/>
      <c r="C132" s="20"/>
      <c r="D132" s="2"/>
      <c r="E132" s="3"/>
      <c r="F132" s="20"/>
      <c r="G132" s="2"/>
      <c r="H132" s="3"/>
      <c r="I132" s="20"/>
      <c r="J132" s="2"/>
      <c r="K132" s="3"/>
      <c r="L132" s="3"/>
      <c r="M132" s="3"/>
      <c r="N132" s="2"/>
      <c r="O132" s="2"/>
      <c r="P132" s="2"/>
      <c r="Q132" s="2"/>
      <c r="R132" s="2"/>
      <c r="S132" s="3"/>
      <c r="T132" s="3"/>
      <c r="U132" s="3"/>
      <c r="V132" s="3"/>
      <c r="W132" s="3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"/>
      <c r="AK132" s="3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</row>
    <row r="133" spans="2:68" x14ac:dyDescent="0.25">
      <c r="B133" s="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2"/>
      <c r="O133" s="2"/>
      <c r="P133" s="2"/>
      <c r="Q133" s="2"/>
      <c r="R133" s="2"/>
      <c r="S133" s="3"/>
      <c r="T133" s="3"/>
      <c r="U133" s="3"/>
      <c r="V133" s="3"/>
      <c r="W133" s="3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"/>
      <c r="AK133" s="3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</row>
    <row r="134" spans="2:68" x14ac:dyDescent="0.25">
      <c r="B134" s="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2"/>
      <c r="O134" s="2"/>
      <c r="P134" s="2"/>
      <c r="Q134" s="2"/>
      <c r="R134" s="2"/>
      <c r="S134" s="3"/>
      <c r="T134" s="3"/>
      <c r="U134" s="3"/>
      <c r="V134" s="3"/>
      <c r="W134" s="3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"/>
      <c r="AK134" s="3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</row>
    <row r="135" spans="2:68" x14ac:dyDescent="0.25">
      <c r="B135" s="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2"/>
      <c r="O135" s="2"/>
      <c r="P135" s="2"/>
      <c r="Q135" s="2"/>
      <c r="R135" s="2"/>
      <c r="S135" s="3"/>
      <c r="T135" s="3"/>
      <c r="U135" s="3"/>
      <c r="V135" s="3"/>
      <c r="W135" s="3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"/>
      <c r="AK135" s="3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</row>
    <row r="136" spans="2:68" x14ac:dyDescent="0.25">
      <c r="B136" s="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2"/>
      <c r="O136" s="2"/>
      <c r="P136" s="2"/>
      <c r="Q136" s="2"/>
      <c r="R136" s="2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</row>
    <row r="137" spans="2:68" x14ac:dyDescent="0.25">
      <c r="B137" s="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2"/>
      <c r="O137" s="2"/>
      <c r="P137" s="2"/>
      <c r="Q137" s="2"/>
      <c r="R137" s="2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</row>
    <row r="138" spans="2:68" x14ac:dyDescent="0.25">
      <c r="B138" s="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2"/>
      <c r="O138" s="2"/>
      <c r="P138" s="2"/>
      <c r="Q138" s="2"/>
      <c r="R138" s="2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</row>
    <row r="139" spans="2:68" x14ac:dyDescent="0.25">
      <c r="B139" s="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2"/>
      <c r="O139" s="2"/>
      <c r="P139" s="2"/>
      <c r="Q139" s="2"/>
      <c r="R139" s="2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</row>
    <row r="140" spans="2:68" x14ac:dyDescent="0.25">
      <c r="B140" s="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2"/>
      <c r="O140" s="2"/>
      <c r="P140" s="2"/>
      <c r="Q140" s="2"/>
      <c r="R140" s="2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</row>
    <row r="141" spans="2:68" x14ac:dyDescent="0.25">
      <c r="B141" s="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2"/>
      <c r="O141" s="2"/>
      <c r="P141" s="2"/>
      <c r="Q141" s="2"/>
      <c r="R141" s="2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</row>
    <row r="142" spans="2:68" x14ac:dyDescent="0.25">
      <c r="B142" s="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2"/>
      <c r="O142" s="2"/>
      <c r="P142" s="2"/>
      <c r="Q142" s="2"/>
      <c r="R142" s="2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</row>
    <row r="143" spans="2:68" x14ac:dyDescent="0.25">
      <c r="B143" s="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2"/>
      <c r="O143" s="2"/>
      <c r="P143" s="2"/>
      <c r="Q143" s="2"/>
      <c r="R143" s="2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</row>
    <row r="144" spans="2:68" x14ac:dyDescent="0.25">
      <c r="B144" s="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2"/>
      <c r="O144" s="2"/>
      <c r="P144" s="2"/>
      <c r="Q144" s="2"/>
      <c r="R144" s="2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</row>
    <row r="145" spans="2:68" x14ac:dyDescent="0.25">
      <c r="B145" s="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2"/>
      <c r="O145" s="2"/>
      <c r="P145" s="2"/>
      <c r="Q145" s="2"/>
      <c r="R145" s="2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</row>
    <row r="146" spans="2:68" x14ac:dyDescent="0.25">
      <c r="B146" s="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2"/>
      <c r="O146" s="2"/>
      <c r="P146" s="2"/>
      <c r="Q146" s="2"/>
      <c r="R146" s="2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</row>
    <row r="147" spans="2:68" x14ac:dyDescent="0.25">
      <c r="B147" s="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2"/>
      <c r="O147" s="2"/>
      <c r="P147" s="2"/>
      <c r="Q147" s="2"/>
      <c r="R147" s="2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</row>
    <row r="148" spans="2:68" x14ac:dyDescent="0.25">
      <c r="B148" s="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2"/>
      <c r="O148" s="2"/>
      <c r="P148" s="2"/>
      <c r="Q148" s="2"/>
      <c r="R148" s="2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</row>
    <row r="149" spans="2:68" x14ac:dyDescent="0.25">
      <c r="B149" s="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2"/>
      <c r="O149" s="2"/>
      <c r="P149" s="2"/>
      <c r="Q149" s="2"/>
      <c r="R149" s="2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</row>
    <row r="150" spans="2:68" x14ac:dyDescent="0.25">
      <c r="B150" s="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2"/>
      <c r="O150" s="2"/>
      <c r="P150" s="2"/>
      <c r="Q150" s="2"/>
      <c r="R150" s="2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</row>
    <row r="151" spans="2:68" x14ac:dyDescent="0.25">
      <c r="B151" s="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2"/>
      <c r="O151" s="2"/>
      <c r="P151" s="2"/>
      <c r="Q151" s="2"/>
      <c r="R151" s="2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</row>
    <row r="152" spans="2:68" x14ac:dyDescent="0.25">
      <c r="B152" s="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2"/>
      <c r="O152" s="2"/>
      <c r="P152" s="2"/>
      <c r="Q152" s="2"/>
      <c r="R152" s="2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</row>
    <row r="153" spans="2:68" x14ac:dyDescent="0.25">
      <c r="B153" s="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2"/>
      <c r="O153" s="2"/>
      <c r="P153" s="2"/>
      <c r="Q153" s="2"/>
      <c r="R153" s="2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</row>
    <row r="154" spans="2:68" x14ac:dyDescent="0.25">
      <c r="B154" s="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2"/>
      <c r="O154" s="2"/>
      <c r="P154" s="2"/>
      <c r="Q154" s="2"/>
      <c r="R154" s="2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</row>
    <row r="155" spans="2:68" x14ac:dyDescent="0.25">
      <c r="B155" s="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2"/>
      <c r="O155" s="2"/>
      <c r="P155" s="2"/>
      <c r="Q155" s="2"/>
      <c r="R155" s="2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</row>
    <row r="156" spans="2:68" x14ac:dyDescent="0.25">
      <c r="B156" s="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2"/>
      <c r="O156" s="2"/>
      <c r="P156" s="2"/>
      <c r="Q156" s="2"/>
      <c r="R156" s="2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</row>
    <row r="157" spans="2:68" x14ac:dyDescent="0.25">
      <c r="B157" s="1"/>
      <c r="C157" s="3"/>
      <c r="D157" s="3"/>
      <c r="E157" s="3"/>
      <c r="F157" s="3"/>
      <c r="G157" s="3"/>
      <c r="H157" s="3"/>
      <c r="I157" s="3"/>
      <c r="J157" s="3"/>
      <c r="K157" s="3"/>
      <c r="L157" s="1"/>
      <c r="M157" s="3"/>
      <c r="N157" s="2"/>
      <c r="O157" s="2"/>
      <c r="P157" s="2"/>
      <c r="Q157" s="2"/>
      <c r="R157" s="2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</row>
    <row r="158" spans="2:68" x14ac:dyDescent="0.25">
      <c r="B158" s="1"/>
      <c r="C158" s="3"/>
      <c r="D158" s="3"/>
      <c r="E158" s="3"/>
      <c r="F158" s="3"/>
      <c r="G158" s="3"/>
      <c r="H158" s="3"/>
      <c r="I158" s="3"/>
      <c r="J158" s="3"/>
      <c r="K158" s="3"/>
      <c r="L158" s="1"/>
      <c r="M158" s="3"/>
      <c r="N158" s="2"/>
      <c r="O158" s="2"/>
      <c r="P158" s="2"/>
      <c r="Q158" s="2"/>
      <c r="R158" s="2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</row>
    <row r="159" spans="2:68" x14ac:dyDescent="0.25">
      <c r="B159" s="1"/>
      <c r="C159" s="3"/>
      <c r="D159" s="3"/>
      <c r="E159" s="3"/>
      <c r="F159" s="3"/>
      <c r="G159" s="3"/>
      <c r="H159" s="3"/>
      <c r="I159" s="3"/>
      <c r="J159" s="3"/>
      <c r="K159" s="3"/>
      <c r="L159" s="1"/>
      <c r="M159" s="3"/>
      <c r="N159" s="2"/>
      <c r="O159" s="2"/>
      <c r="P159" s="2"/>
      <c r="Q159" s="2"/>
      <c r="R159" s="2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</row>
    <row r="160" spans="2:68" x14ac:dyDescent="0.25">
      <c r="B160" s="1"/>
      <c r="C160" s="3"/>
      <c r="D160" s="3"/>
      <c r="E160" s="3"/>
      <c r="F160" s="3"/>
      <c r="G160" s="3"/>
      <c r="H160" s="3"/>
      <c r="I160" s="3"/>
      <c r="J160" s="3"/>
      <c r="K160" s="3"/>
      <c r="M160" s="3"/>
      <c r="N160" s="2"/>
      <c r="O160" s="2"/>
      <c r="P160" s="2"/>
      <c r="Q160" s="2"/>
      <c r="R160" s="2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</row>
    <row r="161" spans="2:68" x14ac:dyDescent="0.25">
      <c r="B161" s="1"/>
      <c r="C161" s="3"/>
      <c r="D161" s="3"/>
      <c r="E161" s="3"/>
      <c r="F161" s="3"/>
      <c r="G161" s="3"/>
      <c r="H161" s="3"/>
      <c r="I161" s="3"/>
      <c r="J161" s="3"/>
      <c r="K161" s="3"/>
      <c r="M161" s="1"/>
      <c r="N161" s="23"/>
      <c r="O161" s="23"/>
      <c r="P161" s="23"/>
      <c r="Q161" s="23"/>
      <c r="R161" s="23"/>
      <c r="S161" s="1"/>
      <c r="T161" s="1"/>
      <c r="U161" s="1"/>
      <c r="V161" s="1"/>
      <c r="W161" s="1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</row>
    <row r="162" spans="2:68" x14ac:dyDescent="0.25">
      <c r="B162" s="1"/>
      <c r="C162" s="3"/>
      <c r="D162" s="3"/>
      <c r="E162" s="3"/>
      <c r="F162" s="3"/>
      <c r="G162" s="3"/>
      <c r="H162" s="3"/>
      <c r="I162" s="3"/>
      <c r="J162" s="3"/>
      <c r="K162" s="3"/>
      <c r="M162" s="1"/>
      <c r="N162" s="23"/>
      <c r="O162" s="23"/>
      <c r="P162" s="23"/>
      <c r="Q162" s="23"/>
      <c r="R162" s="23"/>
      <c r="S162" s="1"/>
      <c r="T162" s="1"/>
      <c r="U162" s="1"/>
      <c r="V162" s="1"/>
      <c r="W162" s="1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</row>
    <row r="163" spans="2:68" x14ac:dyDescent="0.25">
      <c r="B163" s="1"/>
      <c r="C163" s="3"/>
      <c r="D163" s="3"/>
      <c r="E163" s="3"/>
      <c r="F163" s="3"/>
      <c r="G163" s="3"/>
      <c r="H163" s="3"/>
      <c r="I163" s="3"/>
      <c r="J163" s="3"/>
      <c r="K163" s="3"/>
      <c r="M163" s="1"/>
      <c r="N163" s="23"/>
      <c r="O163" s="23"/>
      <c r="P163" s="23"/>
      <c r="Q163" s="23"/>
      <c r="R163" s="23"/>
      <c r="S163" s="1"/>
      <c r="T163" s="1"/>
      <c r="U163" s="1"/>
      <c r="V163" s="1"/>
      <c r="W163" s="1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1"/>
      <c r="AM163" s="1"/>
      <c r="AN163" s="1"/>
    </row>
    <row r="164" spans="2:68" x14ac:dyDescent="0.25">
      <c r="B164" s="1"/>
      <c r="C164" s="3"/>
      <c r="D164" s="3"/>
      <c r="E164" s="3"/>
      <c r="F164" s="3"/>
      <c r="G164" s="3"/>
      <c r="H164" s="3"/>
      <c r="I164" s="3"/>
      <c r="J164" s="3"/>
      <c r="K164" s="1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1"/>
      <c r="AK164" s="1"/>
      <c r="AL164" s="1"/>
      <c r="AM164" s="1"/>
      <c r="AN164" s="1"/>
    </row>
    <row r="165" spans="2:68" x14ac:dyDescent="0.25">
      <c r="B165" s="1"/>
      <c r="C165" s="3"/>
      <c r="D165" s="3"/>
      <c r="E165" s="3"/>
      <c r="F165" s="3"/>
      <c r="G165" s="3"/>
      <c r="H165" s="3"/>
      <c r="I165" s="3"/>
      <c r="J165" s="3"/>
      <c r="K165" s="1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1"/>
      <c r="AK165" s="1"/>
      <c r="AL165" s="1"/>
      <c r="AM165" s="1"/>
      <c r="AN165" s="1"/>
    </row>
    <row r="166" spans="2:68" x14ac:dyDescent="0.25">
      <c r="B166" s="1"/>
      <c r="C166" s="3"/>
      <c r="D166" s="3"/>
      <c r="E166" s="3"/>
      <c r="F166" s="3"/>
      <c r="G166" s="3"/>
      <c r="H166" s="3"/>
      <c r="I166" s="3"/>
      <c r="J166" s="3"/>
      <c r="K166" s="1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1"/>
      <c r="AK166" s="1"/>
      <c r="AL166" s="1"/>
      <c r="AM166" s="1"/>
      <c r="AN166" s="1"/>
    </row>
    <row r="167" spans="2:68" x14ac:dyDescent="0.25">
      <c r="B167" s="1"/>
      <c r="C167" s="3"/>
      <c r="D167" s="3"/>
      <c r="E167" s="3"/>
      <c r="F167" s="3"/>
      <c r="G167" s="3"/>
      <c r="H167" s="3"/>
      <c r="I167" s="3"/>
      <c r="J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spans="2:68" x14ac:dyDescent="0.25">
      <c r="B168" s="1"/>
      <c r="C168" s="1"/>
      <c r="D168" s="1"/>
      <c r="E168" s="1"/>
      <c r="F168" s="1"/>
      <c r="G168" s="1"/>
      <c r="H168" s="1"/>
      <c r="I168" s="1"/>
      <c r="J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2:68" x14ac:dyDescent="0.25">
      <c r="B169" s="1"/>
      <c r="C169" s="1"/>
      <c r="D169" s="1"/>
      <c r="E169" s="1"/>
      <c r="F169" s="1"/>
      <c r="G169" s="1"/>
      <c r="H169" s="1"/>
      <c r="I169" s="1"/>
      <c r="J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2:68" x14ac:dyDescent="0.25">
      <c r="B170" s="1"/>
      <c r="C170" s="1"/>
      <c r="D170" s="1"/>
      <c r="E170" s="1"/>
      <c r="F170" s="1"/>
      <c r="G170" s="1"/>
      <c r="H170" s="1"/>
      <c r="I170" s="1"/>
      <c r="J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</sheetData>
  <mergeCells count="24">
    <mergeCell ref="AF2:AJ2"/>
    <mergeCell ref="AF4:AJ4"/>
    <mergeCell ref="C28:D28"/>
    <mergeCell ref="F28:G28"/>
    <mergeCell ref="I28:J28"/>
    <mergeCell ref="M28:N28"/>
    <mergeCell ref="P28:Q28"/>
    <mergeCell ref="C2:D2"/>
    <mergeCell ref="F2:G2"/>
    <mergeCell ref="I2:J2"/>
    <mergeCell ref="L2:L3"/>
    <mergeCell ref="W28:X28"/>
    <mergeCell ref="Z28:AA28"/>
    <mergeCell ref="S28:T28"/>
    <mergeCell ref="R2:R3"/>
    <mergeCell ref="AC28:AD28"/>
    <mergeCell ref="M2:P2"/>
    <mergeCell ref="S2:V2"/>
    <mergeCell ref="C114:D114"/>
    <mergeCell ref="F114:G114"/>
    <mergeCell ref="I114:J114"/>
    <mergeCell ref="C94:D94"/>
    <mergeCell ref="F94:G94"/>
    <mergeCell ref="I94:J9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zoomScaleNormal="100" workbookViewId="0">
      <selection activeCell="P21" sqref="P21"/>
    </sheetView>
  </sheetViews>
  <sheetFormatPr defaultColWidth="9.140625" defaultRowHeight="15" x14ac:dyDescent="0.25"/>
  <cols>
    <col min="1" max="1" width="6.42578125" style="68" customWidth="1"/>
    <col min="2" max="2" width="25" style="68" customWidth="1"/>
    <col min="3" max="4" width="9.28515625" style="68" customWidth="1"/>
    <col min="5" max="5" width="11.28515625" style="68" customWidth="1"/>
    <col min="6" max="6" width="10.5703125" style="68" customWidth="1"/>
    <col min="7" max="11" width="9.28515625" style="68" customWidth="1"/>
    <col min="12" max="16384" width="9.140625" style="68"/>
  </cols>
  <sheetData>
    <row r="1" spans="1:14" x14ac:dyDescent="0.25">
      <c r="A1" s="140" t="s">
        <v>70</v>
      </c>
    </row>
    <row r="2" spans="1:14" ht="18" customHeight="1" x14ac:dyDescent="0.25">
      <c r="B2" s="175" t="s">
        <v>42</v>
      </c>
      <c r="C2" s="210" t="s">
        <v>30</v>
      </c>
      <c r="D2" s="211"/>
      <c r="E2" s="210" t="s">
        <v>40</v>
      </c>
      <c r="F2" s="211"/>
      <c r="G2" s="210" t="s">
        <v>29</v>
      </c>
      <c r="H2" s="211"/>
      <c r="I2" s="210" t="s">
        <v>28</v>
      </c>
      <c r="J2" s="211"/>
      <c r="K2" s="210" t="s">
        <v>27</v>
      </c>
      <c r="L2" s="211"/>
      <c r="M2" s="210" t="s">
        <v>26</v>
      </c>
      <c r="N2" s="211"/>
    </row>
    <row r="3" spans="1:14" ht="34.5" customHeight="1" x14ac:dyDescent="0.25">
      <c r="B3" s="176"/>
      <c r="C3" s="75" t="s">
        <v>41</v>
      </c>
      <c r="D3" s="77" t="s">
        <v>21</v>
      </c>
      <c r="E3" s="75" t="s">
        <v>41</v>
      </c>
      <c r="F3" s="77" t="s">
        <v>21</v>
      </c>
      <c r="G3" s="75" t="s">
        <v>41</v>
      </c>
      <c r="H3" s="77" t="s">
        <v>21</v>
      </c>
      <c r="I3" s="75" t="s">
        <v>41</v>
      </c>
      <c r="J3" s="77" t="s">
        <v>21</v>
      </c>
      <c r="K3" s="75" t="s">
        <v>41</v>
      </c>
      <c r="L3" s="77" t="s">
        <v>21</v>
      </c>
      <c r="M3" s="75" t="s">
        <v>41</v>
      </c>
      <c r="N3" s="77" t="s">
        <v>21</v>
      </c>
    </row>
    <row r="4" spans="1:14" x14ac:dyDescent="0.25">
      <c r="B4" s="88" t="s">
        <v>43</v>
      </c>
      <c r="C4" s="74">
        <v>20</v>
      </c>
      <c r="D4" s="182">
        <f>AVERAGE(C4:C6)</f>
        <v>20</v>
      </c>
      <c r="E4" s="74">
        <v>29</v>
      </c>
      <c r="F4" s="182">
        <f>AVERAGE(E4:E6)</f>
        <v>27.666666666666668</v>
      </c>
      <c r="G4" s="74">
        <v>31</v>
      </c>
      <c r="H4" s="182">
        <f>AVERAGE(G4:G6)</f>
        <v>31.333333333333332</v>
      </c>
      <c r="I4" s="74">
        <v>38</v>
      </c>
      <c r="J4" s="182">
        <f>AVERAGE(I4:I6)</f>
        <v>39.333333333333336</v>
      </c>
      <c r="K4" s="74">
        <v>50</v>
      </c>
      <c r="L4" s="182">
        <f>AVERAGE(K4:K6)</f>
        <v>50</v>
      </c>
      <c r="M4" s="74">
        <v>65</v>
      </c>
      <c r="N4" s="182">
        <f>AVERAGE(M4:M6)</f>
        <v>69</v>
      </c>
    </row>
    <row r="5" spans="1:14" x14ac:dyDescent="0.25">
      <c r="B5" s="88" t="s">
        <v>44</v>
      </c>
      <c r="C5" s="74">
        <v>20</v>
      </c>
      <c r="D5" s="182"/>
      <c r="E5" s="74">
        <v>28</v>
      </c>
      <c r="F5" s="182"/>
      <c r="G5" s="74">
        <v>33</v>
      </c>
      <c r="H5" s="182"/>
      <c r="I5" s="74">
        <v>40</v>
      </c>
      <c r="J5" s="182"/>
      <c r="K5" s="74">
        <v>51</v>
      </c>
      <c r="L5" s="182"/>
      <c r="M5" s="74">
        <v>75</v>
      </c>
      <c r="N5" s="182"/>
    </row>
    <row r="6" spans="1:14" x14ac:dyDescent="0.25">
      <c r="B6" s="88" t="s">
        <v>45</v>
      </c>
      <c r="C6" s="74">
        <v>20</v>
      </c>
      <c r="D6" s="182"/>
      <c r="E6" s="74">
        <v>26</v>
      </c>
      <c r="F6" s="182"/>
      <c r="G6" s="74">
        <v>30</v>
      </c>
      <c r="H6" s="182"/>
      <c r="I6" s="74">
        <v>40</v>
      </c>
      <c r="J6" s="182"/>
      <c r="K6" s="74">
        <v>49</v>
      </c>
      <c r="L6" s="182"/>
      <c r="M6" s="74">
        <v>67</v>
      </c>
      <c r="N6" s="182"/>
    </row>
    <row r="7" spans="1:14" x14ac:dyDescent="0.25">
      <c r="B7" s="88" t="s">
        <v>39</v>
      </c>
      <c r="C7" s="74">
        <v>20</v>
      </c>
      <c r="D7" s="182">
        <f>AVERAGE(C7:C9)</f>
        <v>20</v>
      </c>
      <c r="E7" s="74">
        <v>27</v>
      </c>
      <c r="F7" s="182">
        <f>AVERAGE(E7:E9)</f>
        <v>26.333333333333332</v>
      </c>
      <c r="G7" s="74">
        <v>27</v>
      </c>
      <c r="H7" s="182">
        <f>AVERAGE(G7:G9)</f>
        <v>28.666666666666668</v>
      </c>
      <c r="I7" s="74">
        <v>40</v>
      </c>
      <c r="J7" s="182">
        <f>AVERAGE(I7:I9)</f>
        <v>39</v>
      </c>
      <c r="K7" s="74">
        <v>44</v>
      </c>
      <c r="L7" s="182">
        <f>AVERAGE(K7:K9)</f>
        <v>48</v>
      </c>
      <c r="M7" s="74">
        <v>62</v>
      </c>
      <c r="N7" s="182">
        <f>AVERAGE(M7:M9)</f>
        <v>64.666666666666671</v>
      </c>
    </row>
    <row r="8" spans="1:14" x14ac:dyDescent="0.25">
      <c r="B8" s="88" t="s">
        <v>38</v>
      </c>
      <c r="C8" s="74">
        <v>20</v>
      </c>
      <c r="D8" s="182"/>
      <c r="E8" s="74">
        <v>26</v>
      </c>
      <c r="F8" s="182"/>
      <c r="G8" s="74">
        <v>30</v>
      </c>
      <c r="H8" s="182"/>
      <c r="I8" s="74">
        <v>37</v>
      </c>
      <c r="J8" s="182"/>
      <c r="K8" s="74">
        <v>51</v>
      </c>
      <c r="L8" s="182"/>
      <c r="M8" s="74">
        <v>68</v>
      </c>
      <c r="N8" s="182"/>
    </row>
    <row r="9" spans="1:14" x14ac:dyDescent="0.25">
      <c r="B9" s="88" t="s">
        <v>37</v>
      </c>
      <c r="C9" s="74">
        <v>20</v>
      </c>
      <c r="D9" s="182"/>
      <c r="E9" s="74">
        <v>26</v>
      </c>
      <c r="F9" s="182"/>
      <c r="G9" s="74">
        <v>29</v>
      </c>
      <c r="H9" s="182"/>
      <c r="I9" s="74">
        <v>40</v>
      </c>
      <c r="J9" s="182"/>
      <c r="K9" s="74">
        <v>49</v>
      </c>
      <c r="L9" s="182"/>
      <c r="M9" s="74">
        <v>64</v>
      </c>
      <c r="N9" s="182"/>
    </row>
    <row r="10" spans="1:14" x14ac:dyDescent="0.25">
      <c r="B10" s="88" t="s">
        <v>36</v>
      </c>
      <c r="C10" s="74">
        <v>20</v>
      </c>
      <c r="D10" s="182">
        <f>AVERAGE(C10:C12)</f>
        <v>20</v>
      </c>
      <c r="E10" s="74">
        <v>23</v>
      </c>
      <c r="F10" s="182">
        <f>AVERAGE(E10:E12)</f>
        <v>25</v>
      </c>
      <c r="G10" s="74">
        <v>27</v>
      </c>
      <c r="H10" s="182">
        <f>AVERAGE(G10:G12)</f>
        <v>30</v>
      </c>
      <c r="I10" s="74">
        <v>36</v>
      </c>
      <c r="J10" s="182">
        <f>AVERAGE(I10:I12)</f>
        <v>37</v>
      </c>
      <c r="K10" s="74">
        <v>43</v>
      </c>
      <c r="L10" s="182">
        <f>AVERAGE(K10:K12)</f>
        <v>46</v>
      </c>
      <c r="M10" s="74">
        <v>63</v>
      </c>
      <c r="N10" s="182">
        <f>AVERAGE(M10:M12)</f>
        <v>62.666666666666664</v>
      </c>
    </row>
    <row r="11" spans="1:14" x14ac:dyDescent="0.25">
      <c r="B11" s="88" t="s">
        <v>35</v>
      </c>
      <c r="C11" s="74">
        <v>20</v>
      </c>
      <c r="D11" s="182"/>
      <c r="E11" s="74">
        <v>26</v>
      </c>
      <c r="F11" s="182"/>
      <c r="G11" s="74">
        <v>35</v>
      </c>
      <c r="H11" s="182"/>
      <c r="I11" s="74">
        <v>36</v>
      </c>
      <c r="J11" s="182"/>
      <c r="K11" s="74">
        <v>49</v>
      </c>
      <c r="L11" s="182"/>
      <c r="M11" s="74">
        <v>60</v>
      </c>
      <c r="N11" s="182"/>
    </row>
    <row r="12" spans="1:14" x14ac:dyDescent="0.25">
      <c r="B12" s="88" t="s">
        <v>34</v>
      </c>
      <c r="C12" s="74">
        <v>20</v>
      </c>
      <c r="D12" s="182"/>
      <c r="E12" s="74">
        <v>26</v>
      </c>
      <c r="F12" s="182"/>
      <c r="G12" s="74">
        <v>28</v>
      </c>
      <c r="H12" s="182"/>
      <c r="I12" s="74">
        <v>39</v>
      </c>
      <c r="J12" s="182"/>
      <c r="K12" s="74">
        <v>46</v>
      </c>
      <c r="L12" s="182"/>
      <c r="M12" s="74">
        <v>65</v>
      </c>
      <c r="N12" s="182"/>
    </row>
    <row r="13" spans="1:14" x14ac:dyDescent="0.25">
      <c r="B13" s="88" t="s">
        <v>33</v>
      </c>
      <c r="C13" s="74">
        <v>20</v>
      </c>
      <c r="D13" s="182">
        <f>AVERAGE(C13:C15)</f>
        <v>20</v>
      </c>
      <c r="E13" s="74">
        <v>27</v>
      </c>
      <c r="F13" s="182">
        <f>AVERAGE(E13:E15)</f>
        <v>25.666666666666668</v>
      </c>
      <c r="G13" s="74">
        <v>31</v>
      </c>
      <c r="H13" s="182">
        <f>AVERAGE(G13:G15)</f>
        <v>29.666666666666668</v>
      </c>
      <c r="I13" s="74">
        <v>39</v>
      </c>
      <c r="J13" s="182">
        <f>AVERAGE(I13:I15)</f>
        <v>37</v>
      </c>
      <c r="K13" s="74">
        <v>47</v>
      </c>
      <c r="L13" s="182">
        <f>AVERAGE(K13:K15)</f>
        <v>47.333333333333336</v>
      </c>
      <c r="M13" s="74">
        <v>60</v>
      </c>
      <c r="N13" s="182">
        <f>AVERAGE(M13:M15)</f>
        <v>62.333333333333336</v>
      </c>
    </row>
    <row r="14" spans="1:14" x14ac:dyDescent="0.25">
      <c r="B14" s="88" t="s">
        <v>32</v>
      </c>
      <c r="C14" s="74">
        <v>20</v>
      </c>
      <c r="D14" s="182"/>
      <c r="E14" s="74">
        <v>26</v>
      </c>
      <c r="F14" s="182"/>
      <c r="G14" s="74">
        <v>28</v>
      </c>
      <c r="H14" s="182"/>
      <c r="I14" s="74">
        <v>35</v>
      </c>
      <c r="J14" s="182"/>
      <c r="K14" s="74">
        <v>45</v>
      </c>
      <c r="L14" s="182"/>
      <c r="M14" s="74">
        <v>67</v>
      </c>
      <c r="N14" s="182"/>
    </row>
    <row r="15" spans="1:14" x14ac:dyDescent="0.25">
      <c r="B15" s="90" t="s">
        <v>31</v>
      </c>
      <c r="C15" s="78">
        <v>20</v>
      </c>
      <c r="D15" s="183"/>
      <c r="E15" s="78">
        <v>24</v>
      </c>
      <c r="F15" s="183"/>
      <c r="G15" s="78">
        <v>30</v>
      </c>
      <c r="H15" s="183"/>
      <c r="I15" s="78">
        <v>37</v>
      </c>
      <c r="J15" s="183"/>
      <c r="K15" s="78">
        <v>50</v>
      </c>
      <c r="L15" s="183"/>
      <c r="M15" s="78">
        <v>60</v>
      </c>
      <c r="N15" s="183"/>
    </row>
    <row r="16" spans="1:14" x14ac:dyDescent="0.25"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</row>
    <row r="17" spans="1:14" x14ac:dyDescent="0.25">
      <c r="A17" s="72"/>
      <c r="B17" s="30" t="s">
        <v>87</v>
      </c>
      <c r="C17" s="76"/>
      <c r="D17" s="76"/>
      <c r="E17" s="76"/>
      <c r="F17" s="76"/>
      <c r="G17" s="76"/>
      <c r="H17" s="76"/>
      <c r="I17" s="73"/>
      <c r="J17" s="73"/>
      <c r="K17" s="73"/>
      <c r="L17" s="73"/>
    </row>
    <row r="18" spans="1:14" x14ac:dyDescent="0.25">
      <c r="A18" s="72"/>
      <c r="B18" t="s">
        <v>88</v>
      </c>
      <c r="C18" s="72"/>
      <c r="D18" s="72"/>
      <c r="E18" s="72"/>
      <c r="F18" s="72"/>
      <c r="G18" s="72"/>
      <c r="H18" s="72"/>
      <c r="M18" s="72"/>
      <c r="N18" s="72"/>
    </row>
    <row r="19" spans="1:14" x14ac:dyDescent="0.25">
      <c r="A19" s="72"/>
      <c r="B19"/>
      <c r="C19" s="72"/>
      <c r="D19" s="72"/>
      <c r="E19" s="72"/>
      <c r="F19" s="72"/>
      <c r="G19" s="72"/>
      <c r="H19" s="72"/>
      <c r="M19" s="72"/>
      <c r="N19" s="72"/>
    </row>
    <row r="20" spans="1:14" x14ac:dyDescent="0.25">
      <c r="A20" s="72"/>
      <c r="B20" s="175" t="s">
        <v>42</v>
      </c>
      <c r="C20" s="177" t="s">
        <v>51</v>
      </c>
      <c r="D20" s="178"/>
      <c r="E20" s="179" t="s">
        <v>49</v>
      </c>
      <c r="F20" s="180"/>
      <c r="G20" s="72"/>
      <c r="H20" s="72"/>
      <c r="M20" s="181"/>
      <c r="N20" s="181"/>
    </row>
    <row r="21" spans="1:14" ht="45" x14ac:dyDescent="0.25">
      <c r="A21" s="72"/>
      <c r="B21" s="176"/>
      <c r="C21" s="78" t="s">
        <v>46</v>
      </c>
      <c r="D21" s="85" t="s">
        <v>47</v>
      </c>
      <c r="E21" s="86" t="s">
        <v>50</v>
      </c>
      <c r="F21" s="87" t="s">
        <v>48</v>
      </c>
      <c r="G21" s="72"/>
      <c r="H21" s="72"/>
      <c r="M21" s="71"/>
      <c r="N21" s="71"/>
    </row>
    <row r="22" spans="1:14" x14ac:dyDescent="0.25">
      <c r="A22" s="72"/>
      <c r="B22" s="88" t="s">
        <v>43</v>
      </c>
      <c r="C22" s="82">
        <v>0.17899999999999999</v>
      </c>
      <c r="D22" s="81">
        <v>0.30499999999999999</v>
      </c>
      <c r="E22" s="106">
        <f t="shared" ref="E22:E33" si="0">(5.24*D22+22.24*C22)*5</f>
        <v>27.895800000000001</v>
      </c>
      <c r="F22" s="173">
        <f>AVERAGE(E22:E24)</f>
        <v>28.8642</v>
      </c>
      <c r="G22" s="72"/>
      <c r="H22" s="72"/>
      <c r="M22" s="71"/>
      <c r="N22" s="71"/>
    </row>
    <row r="23" spans="1:14" x14ac:dyDescent="0.25">
      <c r="A23" s="72"/>
      <c r="B23" s="88" t="s">
        <v>44</v>
      </c>
      <c r="C23" s="82">
        <v>0.19800000000000001</v>
      </c>
      <c r="D23" s="81">
        <v>0.33300000000000002</v>
      </c>
      <c r="E23" s="106">
        <f t="shared" si="0"/>
        <v>30.742200000000004</v>
      </c>
      <c r="F23" s="173"/>
      <c r="G23" s="72"/>
      <c r="H23" s="72"/>
      <c r="N23" s="71"/>
    </row>
    <row r="24" spans="1:14" x14ac:dyDescent="0.25">
      <c r="A24" s="72"/>
      <c r="B24" s="88" t="s">
        <v>45</v>
      </c>
      <c r="C24" s="82">
        <v>0.18</v>
      </c>
      <c r="D24" s="81">
        <v>0.30299999999999999</v>
      </c>
      <c r="E24" s="106">
        <f t="shared" si="0"/>
        <v>27.954599999999999</v>
      </c>
      <c r="F24" s="173"/>
      <c r="G24" s="72"/>
      <c r="H24" s="72"/>
      <c r="N24" s="71"/>
    </row>
    <row r="25" spans="1:14" x14ac:dyDescent="0.25">
      <c r="A25" s="72"/>
      <c r="B25" s="89" t="s">
        <v>39</v>
      </c>
      <c r="C25" s="84">
        <v>0.158</v>
      </c>
      <c r="D25" s="83">
        <v>0.26100000000000001</v>
      </c>
      <c r="E25" s="107">
        <f t="shared" si="0"/>
        <v>24.407800000000002</v>
      </c>
      <c r="F25" s="172">
        <f>AVERAGE(E25:E27)</f>
        <v>27.893466666666669</v>
      </c>
      <c r="G25" s="72"/>
      <c r="H25" s="72"/>
      <c r="M25" s="71"/>
      <c r="N25" s="71"/>
    </row>
    <row r="26" spans="1:14" x14ac:dyDescent="0.25">
      <c r="A26" s="72"/>
      <c r="B26" s="88" t="s">
        <v>38</v>
      </c>
      <c r="C26" s="82">
        <v>0.19500000000000001</v>
      </c>
      <c r="D26" s="81">
        <v>0.32500000000000001</v>
      </c>
      <c r="E26" s="106">
        <f t="shared" si="0"/>
        <v>30.199000000000002</v>
      </c>
      <c r="F26" s="173"/>
      <c r="G26" s="72"/>
      <c r="H26" s="72"/>
      <c r="M26" s="71"/>
      <c r="N26" s="71"/>
    </row>
    <row r="27" spans="1:14" x14ac:dyDescent="0.25">
      <c r="A27" s="72"/>
      <c r="B27" s="90" t="s">
        <v>37</v>
      </c>
      <c r="C27" s="80">
        <v>0.187</v>
      </c>
      <c r="D27" s="79">
        <v>0.316</v>
      </c>
      <c r="E27" s="108">
        <f t="shared" si="0"/>
        <v>29.073599999999999</v>
      </c>
      <c r="F27" s="174"/>
      <c r="G27" s="72"/>
      <c r="H27" s="71"/>
      <c r="K27" s="72"/>
      <c r="M27" s="72"/>
      <c r="N27" s="72"/>
    </row>
    <row r="28" spans="1:14" x14ac:dyDescent="0.25">
      <c r="A28" s="72"/>
      <c r="B28" s="88" t="s">
        <v>36</v>
      </c>
      <c r="C28" s="82">
        <v>0.14299999999999999</v>
      </c>
      <c r="D28" s="81">
        <v>0.23799999999999999</v>
      </c>
      <c r="E28" s="106">
        <f t="shared" si="0"/>
        <v>22.1372</v>
      </c>
      <c r="F28" s="173">
        <f>AVERAGE(E28:E30)</f>
        <v>24.357733333333332</v>
      </c>
      <c r="G28" s="72"/>
      <c r="H28" s="72"/>
      <c r="K28" s="72"/>
      <c r="M28" s="72"/>
      <c r="N28" s="72"/>
    </row>
    <row r="29" spans="1:14" x14ac:dyDescent="0.25">
      <c r="A29" s="72"/>
      <c r="B29" s="88" t="s">
        <v>35</v>
      </c>
      <c r="C29" s="82">
        <v>0.14699999999999999</v>
      </c>
      <c r="D29" s="81">
        <v>0.249</v>
      </c>
      <c r="E29" s="106">
        <f t="shared" si="0"/>
        <v>22.870200000000001</v>
      </c>
      <c r="F29" s="173"/>
      <c r="G29" s="72"/>
      <c r="H29" s="72"/>
    </row>
    <row r="30" spans="1:14" x14ac:dyDescent="0.25">
      <c r="A30" s="72"/>
      <c r="B30" s="88" t="s">
        <v>34</v>
      </c>
      <c r="C30" s="82">
        <v>0.18099999999999999</v>
      </c>
      <c r="D30" s="81">
        <v>0.30299999999999999</v>
      </c>
      <c r="E30" s="106">
        <f t="shared" si="0"/>
        <v>28.065799999999999</v>
      </c>
      <c r="F30" s="173"/>
      <c r="G30" s="72"/>
      <c r="H30" s="72"/>
    </row>
    <row r="31" spans="1:14" x14ac:dyDescent="0.25">
      <c r="A31" s="72"/>
      <c r="B31" s="89" t="s">
        <v>33</v>
      </c>
      <c r="C31" s="84">
        <v>0.16600000000000001</v>
      </c>
      <c r="D31" s="83">
        <v>0.27500000000000002</v>
      </c>
      <c r="E31" s="109">
        <f t="shared" si="0"/>
        <v>25.664200000000001</v>
      </c>
      <c r="F31" s="172">
        <f>AVERAGE(E31:E33)</f>
        <v>24.466799999999996</v>
      </c>
      <c r="G31" s="72"/>
      <c r="H31" s="72"/>
    </row>
    <row r="32" spans="1:14" x14ac:dyDescent="0.25">
      <c r="A32" s="72"/>
      <c r="B32" s="88" t="s">
        <v>32</v>
      </c>
      <c r="C32" s="82">
        <v>0.17599999999999999</v>
      </c>
      <c r="D32" s="81">
        <v>0.3</v>
      </c>
      <c r="E32" s="106">
        <f t="shared" si="0"/>
        <v>27.431199999999997</v>
      </c>
      <c r="F32" s="173"/>
      <c r="G32" s="72"/>
      <c r="H32" s="72"/>
    </row>
    <row r="33" spans="1:8" x14ac:dyDescent="0.25">
      <c r="A33" s="72"/>
      <c r="B33" s="90" t="s">
        <v>31</v>
      </c>
      <c r="C33" s="80">
        <v>0.13100000000000001</v>
      </c>
      <c r="D33" s="79">
        <v>0.219</v>
      </c>
      <c r="E33" s="108">
        <f t="shared" si="0"/>
        <v>20.305</v>
      </c>
      <c r="F33" s="174"/>
      <c r="G33" s="72"/>
      <c r="H33" s="72"/>
    </row>
    <row r="34" spans="1:8" x14ac:dyDescent="0.25">
      <c r="A34" s="72"/>
      <c r="B34" s="72"/>
      <c r="C34" s="71"/>
      <c r="D34" s="71"/>
      <c r="E34" s="72"/>
      <c r="F34" s="72"/>
      <c r="G34" s="72"/>
      <c r="H34" s="72"/>
    </row>
    <row r="35" spans="1:8" x14ac:dyDescent="0.25">
      <c r="A35" s="72"/>
      <c r="B35" s="72"/>
      <c r="C35" s="71"/>
      <c r="D35" s="71"/>
      <c r="E35" s="72"/>
      <c r="F35" s="72"/>
      <c r="G35" s="72"/>
      <c r="H35" s="72"/>
    </row>
    <row r="36" spans="1:8" x14ac:dyDescent="0.25">
      <c r="A36" s="72"/>
      <c r="B36" s="72"/>
      <c r="C36" s="72"/>
      <c r="D36" s="72"/>
      <c r="E36" s="72"/>
      <c r="F36" s="72"/>
      <c r="G36" s="72"/>
      <c r="H36" s="72"/>
    </row>
    <row r="37" spans="1:8" x14ac:dyDescent="0.25">
      <c r="A37" s="72"/>
      <c r="B37" s="72"/>
      <c r="C37" s="72"/>
      <c r="D37" s="72"/>
      <c r="E37" s="72"/>
      <c r="F37" s="72"/>
      <c r="G37" s="72"/>
      <c r="H37" s="72"/>
    </row>
    <row r="38" spans="1:8" x14ac:dyDescent="0.25">
      <c r="A38" s="72"/>
      <c r="B38" s="72"/>
      <c r="C38" s="72"/>
      <c r="D38" s="72"/>
      <c r="E38" s="72"/>
      <c r="F38" s="72"/>
      <c r="G38" s="72"/>
      <c r="H38" s="72"/>
    </row>
    <row r="39" spans="1:8" x14ac:dyDescent="0.25">
      <c r="A39" s="72"/>
      <c r="B39" s="72"/>
      <c r="C39" s="72"/>
      <c r="D39" s="72"/>
      <c r="E39" s="72"/>
      <c r="F39" s="72"/>
      <c r="G39" s="72"/>
      <c r="H39" s="72"/>
    </row>
    <row r="40" spans="1:8" x14ac:dyDescent="0.25">
      <c r="A40" s="72"/>
      <c r="B40" s="72"/>
      <c r="C40" s="72"/>
      <c r="D40" s="72"/>
      <c r="E40" s="72"/>
      <c r="F40" s="72"/>
      <c r="G40" s="72"/>
      <c r="H40" s="72"/>
    </row>
    <row r="45" spans="1:8" x14ac:dyDescent="0.25">
      <c r="B45" s="72"/>
    </row>
    <row r="46" spans="1:8" x14ac:dyDescent="0.25">
      <c r="B46" s="70"/>
      <c r="C46" s="69"/>
      <c r="D46" s="69"/>
    </row>
    <row r="47" spans="1:8" x14ac:dyDescent="0.25">
      <c r="B47" s="70"/>
      <c r="C47" s="69"/>
      <c r="D47" s="69"/>
    </row>
    <row r="48" spans="1:8" x14ac:dyDescent="0.25">
      <c r="B48" s="70"/>
      <c r="C48" s="69"/>
      <c r="D48" s="69"/>
    </row>
    <row r="49" spans="2:4" x14ac:dyDescent="0.25">
      <c r="B49" s="70"/>
      <c r="C49" s="69"/>
      <c r="D49" s="69"/>
    </row>
    <row r="50" spans="2:4" x14ac:dyDescent="0.25">
      <c r="B50" s="70"/>
      <c r="C50" s="69"/>
      <c r="D50" s="69"/>
    </row>
    <row r="51" spans="2:4" x14ac:dyDescent="0.25">
      <c r="B51" s="70"/>
      <c r="C51" s="69"/>
      <c r="D51" s="69"/>
    </row>
    <row r="52" spans="2:4" x14ac:dyDescent="0.25">
      <c r="B52" s="70"/>
      <c r="C52" s="69"/>
      <c r="D52" s="69"/>
    </row>
    <row r="53" spans="2:4" x14ac:dyDescent="0.25">
      <c r="B53" s="70"/>
      <c r="C53" s="69"/>
      <c r="D53" s="69"/>
    </row>
    <row r="54" spans="2:4" x14ac:dyDescent="0.25">
      <c r="B54" s="70"/>
      <c r="C54" s="69"/>
      <c r="D54" s="69"/>
    </row>
    <row r="55" spans="2:4" x14ac:dyDescent="0.25">
      <c r="B55" s="70"/>
      <c r="C55" s="69"/>
      <c r="D55" s="69"/>
    </row>
    <row r="56" spans="2:4" x14ac:dyDescent="0.25">
      <c r="B56" s="70"/>
      <c r="C56" s="69"/>
      <c r="D56" s="69"/>
    </row>
    <row r="57" spans="2:4" x14ac:dyDescent="0.25">
      <c r="B57" s="70"/>
      <c r="C57" s="69"/>
      <c r="D57" s="69"/>
    </row>
  </sheetData>
  <mergeCells count="39">
    <mergeCell ref="M2:N2"/>
    <mergeCell ref="C2:D2"/>
    <mergeCell ref="E2:F2"/>
    <mergeCell ref="N10:N12"/>
    <mergeCell ref="H7:H9"/>
    <mergeCell ref="D7:D9"/>
    <mergeCell ref="F7:F9"/>
    <mergeCell ref="N7:N9"/>
    <mergeCell ref="M20:N20"/>
    <mergeCell ref="D4:D6"/>
    <mergeCell ref="F4:F6"/>
    <mergeCell ref="F10:F12"/>
    <mergeCell ref="H10:H12"/>
    <mergeCell ref="J7:J9"/>
    <mergeCell ref="N13:N15"/>
    <mergeCell ref="L13:L15"/>
    <mergeCell ref="D13:D15"/>
    <mergeCell ref="F13:F15"/>
    <mergeCell ref="H13:H15"/>
    <mergeCell ref="J13:J15"/>
    <mergeCell ref="H4:H6"/>
    <mergeCell ref="J10:J12"/>
    <mergeCell ref="N4:N6"/>
    <mergeCell ref="J4:J6"/>
    <mergeCell ref="G2:H2"/>
    <mergeCell ref="I2:J2"/>
    <mergeCell ref="K2:L2"/>
    <mergeCell ref="F31:F33"/>
    <mergeCell ref="B20:B21"/>
    <mergeCell ref="C20:D20"/>
    <mergeCell ref="E20:F20"/>
    <mergeCell ref="F22:F24"/>
    <mergeCell ref="F25:F27"/>
    <mergeCell ref="F28:F30"/>
    <mergeCell ref="B2:B3"/>
    <mergeCell ref="L4:L6"/>
    <mergeCell ref="D10:D12"/>
    <mergeCell ref="L10:L12"/>
    <mergeCell ref="L7:L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workbookViewId="0">
      <selection activeCell="B32" sqref="B32"/>
    </sheetView>
  </sheetViews>
  <sheetFormatPr defaultRowHeight="15" x14ac:dyDescent="0.25"/>
  <cols>
    <col min="2" max="2" width="20.42578125" customWidth="1"/>
    <col min="11" max="11" width="26.85546875" customWidth="1"/>
  </cols>
  <sheetData>
    <row r="1" spans="1:18" x14ac:dyDescent="0.25">
      <c r="A1" t="s">
        <v>71</v>
      </c>
    </row>
    <row r="2" spans="1:18" x14ac:dyDescent="0.25">
      <c r="B2" t="s">
        <v>58</v>
      </c>
      <c r="K2" t="s">
        <v>57</v>
      </c>
    </row>
    <row r="4" spans="1:18" ht="14.25" customHeight="1" x14ac:dyDescent="0.25">
      <c r="B4" s="184" t="s">
        <v>5</v>
      </c>
      <c r="C4" s="186" t="s">
        <v>56</v>
      </c>
      <c r="D4" s="187"/>
      <c r="E4" s="187"/>
      <c r="F4" s="187"/>
      <c r="G4" s="187"/>
      <c r="H4" s="187"/>
      <c r="I4" s="188"/>
      <c r="K4" s="184" t="s">
        <v>5</v>
      </c>
      <c r="L4" s="186" t="s">
        <v>56</v>
      </c>
      <c r="M4" s="187"/>
      <c r="N4" s="187"/>
      <c r="O4" s="187"/>
      <c r="P4" s="187"/>
      <c r="Q4" s="187"/>
      <c r="R4" s="188"/>
    </row>
    <row r="5" spans="1:18" x14ac:dyDescent="0.25">
      <c r="B5" s="185"/>
      <c r="C5" s="66" t="s">
        <v>0</v>
      </c>
      <c r="D5" s="67" t="s">
        <v>1</v>
      </c>
      <c r="E5" s="67" t="s">
        <v>2</v>
      </c>
      <c r="F5" s="67" t="s">
        <v>53</v>
      </c>
      <c r="G5" s="67" t="s">
        <v>54</v>
      </c>
      <c r="H5" s="67" t="s">
        <v>55</v>
      </c>
      <c r="I5" s="100" t="s">
        <v>21</v>
      </c>
      <c r="K5" s="185"/>
      <c r="L5" s="66" t="s">
        <v>0</v>
      </c>
      <c r="M5" s="67" t="s">
        <v>1</v>
      </c>
      <c r="N5" s="67" t="s">
        <v>2</v>
      </c>
      <c r="O5" s="67" t="s">
        <v>53</v>
      </c>
      <c r="P5" s="67" t="s">
        <v>54</v>
      </c>
      <c r="Q5" s="67" t="s">
        <v>55</v>
      </c>
      <c r="R5" s="100" t="s">
        <v>21</v>
      </c>
    </row>
    <row r="6" spans="1:18" ht="16.5" customHeight="1" x14ac:dyDescent="0.25">
      <c r="B6" s="93" t="s">
        <v>52</v>
      </c>
      <c r="C6" s="97">
        <v>0.113</v>
      </c>
      <c r="D6" s="97">
        <v>0.126</v>
      </c>
      <c r="E6" s="97">
        <v>0.126</v>
      </c>
      <c r="F6" s="97">
        <v>0.126</v>
      </c>
      <c r="G6" s="97">
        <v>0.112</v>
      </c>
      <c r="H6" s="97">
        <v>0.13</v>
      </c>
      <c r="I6" s="101"/>
      <c r="K6" s="93" t="s">
        <v>52</v>
      </c>
      <c r="L6" s="91">
        <v>0.186</v>
      </c>
      <c r="M6" s="92">
        <v>0.182</v>
      </c>
      <c r="N6" s="92">
        <v>0.36399999999999999</v>
      </c>
      <c r="O6" s="92">
        <v>0.188</v>
      </c>
      <c r="P6" s="98">
        <v>0.18099999999999999</v>
      </c>
      <c r="Q6" s="98">
        <v>0.222</v>
      </c>
      <c r="R6" s="101"/>
    </row>
    <row r="7" spans="1:18" ht="15.75" customHeight="1" x14ac:dyDescent="0.25">
      <c r="B7" s="93" t="s">
        <v>52</v>
      </c>
      <c r="C7" s="97">
        <v>0.125</v>
      </c>
      <c r="D7" s="97">
        <v>0.11600000000000001</v>
      </c>
      <c r="E7" s="97">
        <v>0.11600000000000001</v>
      </c>
      <c r="F7" s="97">
        <v>0.13200000000000001</v>
      </c>
      <c r="G7" s="97">
        <v>0.11800000000000001</v>
      </c>
      <c r="H7" s="97">
        <v>0.112</v>
      </c>
      <c r="I7" s="101"/>
      <c r="K7" s="93" t="s">
        <v>52</v>
      </c>
      <c r="L7" s="91">
        <v>0.35100000000000003</v>
      </c>
      <c r="M7" s="92">
        <v>0.316</v>
      </c>
      <c r="N7" s="92">
        <v>0.21</v>
      </c>
      <c r="O7" s="92">
        <v>0.20300000000000001</v>
      </c>
      <c r="P7" s="98">
        <v>0.37</v>
      </c>
      <c r="Q7" s="98">
        <v>0.29499999999999998</v>
      </c>
      <c r="R7" s="101"/>
    </row>
    <row r="8" spans="1:18" ht="15.75" customHeight="1" x14ac:dyDescent="0.25">
      <c r="B8" s="93" t="s">
        <v>52</v>
      </c>
      <c r="C8" s="97">
        <v>0.122</v>
      </c>
      <c r="D8" s="97">
        <v>0.11</v>
      </c>
      <c r="E8" s="97">
        <v>0.11700000000000001</v>
      </c>
      <c r="F8" s="97">
        <v>0.129</v>
      </c>
      <c r="G8" s="97">
        <v>0.11800000000000001</v>
      </c>
      <c r="H8" s="97">
        <v>0.121</v>
      </c>
      <c r="I8" s="101"/>
      <c r="K8" s="93" t="s">
        <v>52</v>
      </c>
      <c r="L8" s="98">
        <v>0.26</v>
      </c>
      <c r="M8" s="98">
        <v>0.36599999999999999</v>
      </c>
      <c r="N8" s="98">
        <v>0.224</v>
      </c>
      <c r="O8" s="98">
        <v>0.25700000000000001</v>
      </c>
      <c r="P8" s="98">
        <v>0.28899999999999998</v>
      </c>
      <c r="Q8" s="98">
        <v>0.3</v>
      </c>
      <c r="R8" s="101"/>
    </row>
    <row r="9" spans="1:18" ht="15.75" customHeight="1" x14ac:dyDescent="0.25">
      <c r="B9" s="93" t="s">
        <v>52</v>
      </c>
      <c r="C9" s="97">
        <v>0.14300000000000002</v>
      </c>
      <c r="D9" s="97">
        <v>0.14499999999999999</v>
      </c>
      <c r="E9" s="97">
        <v>0.13</v>
      </c>
      <c r="F9" s="97">
        <v>0.12</v>
      </c>
      <c r="G9" s="97">
        <v>0.13</v>
      </c>
      <c r="H9" s="97">
        <v>0.11800000000000001</v>
      </c>
      <c r="I9" s="101"/>
      <c r="K9" s="93" t="s">
        <v>52</v>
      </c>
      <c r="L9" s="98">
        <v>0.19500000000000001</v>
      </c>
      <c r="M9" s="98">
        <v>0.22900000000000001</v>
      </c>
      <c r="N9" s="98">
        <v>0.28000000000000003</v>
      </c>
      <c r="O9" s="98">
        <v>0.34700000000000003</v>
      </c>
      <c r="P9" s="98">
        <v>0.32200000000000001</v>
      </c>
      <c r="Q9" s="98">
        <v>0.23100000000000001</v>
      </c>
      <c r="R9" s="101"/>
    </row>
    <row r="10" spans="1:18" ht="15" customHeight="1" x14ac:dyDescent="0.25">
      <c r="B10" s="93" t="s">
        <v>52</v>
      </c>
      <c r="C10" s="97">
        <v>0.106</v>
      </c>
      <c r="D10" s="97">
        <v>0.12</v>
      </c>
      <c r="E10" s="97">
        <v>0.11800000000000001</v>
      </c>
      <c r="F10" s="97">
        <v>0.109</v>
      </c>
      <c r="G10" s="97">
        <v>0.122</v>
      </c>
      <c r="H10" s="98"/>
      <c r="I10" s="101">
        <f>AVERAGE(C6:H10)</f>
        <v>0.12172413793103448</v>
      </c>
      <c r="K10" s="93" t="s">
        <v>52</v>
      </c>
      <c r="L10" s="98">
        <v>0.28800000000000003</v>
      </c>
      <c r="M10" s="98">
        <v>0.26400000000000001</v>
      </c>
      <c r="N10" s="98">
        <v>0.28100000000000003</v>
      </c>
      <c r="O10" s="98">
        <v>0.27900000000000003</v>
      </c>
      <c r="P10" s="98">
        <v>0.27100000000000002</v>
      </c>
      <c r="Q10" s="98"/>
      <c r="R10" s="101">
        <f>AVERAGE(L6:Q10)</f>
        <v>0.26727586206896559</v>
      </c>
    </row>
    <row r="11" spans="1:18" ht="15" customHeight="1" x14ac:dyDescent="0.25">
      <c r="B11" s="94" t="s">
        <v>5</v>
      </c>
      <c r="C11" s="95">
        <v>0.13100000000000001</v>
      </c>
      <c r="D11" s="96">
        <v>0.123</v>
      </c>
      <c r="E11" s="96">
        <v>0.124</v>
      </c>
      <c r="F11" s="96"/>
      <c r="G11" s="99"/>
      <c r="H11" s="99"/>
      <c r="I11" s="102">
        <f>AVERAGE(C11:E11)</f>
        <v>0.126</v>
      </c>
      <c r="K11" s="94" t="s">
        <v>5</v>
      </c>
      <c r="L11" s="95">
        <v>0.215</v>
      </c>
      <c r="M11" s="96">
        <v>0.219</v>
      </c>
      <c r="N11" s="96"/>
      <c r="O11" s="96"/>
      <c r="P11" s="99"/>
      <c r="Q11" s="99"/>
      <c r="R11" s="102">
        <f>AVERAGE(L11:N11)</f>
        <v>0.217</v>
      </c>
    </row>
    <row r="12" spans="1:18" x14ac:dyDescent="0.25">
      <c r="C12" s="97"/>
      <c r="D12" s="97"/>
      <c r="E12" s="97"/>
      <c r="F12" s="97"/>
      <c r="G12" s="97"/>
      <c r="H12" s="97"/>
      <c r="I12" s="97"/>
    </row>
    <row r="13" spans="1:18" ht="15" customHeight="1" x14ac:dyDescent="0.25">
      <c r="B13" s="184" t="s">
        <v>6</v>
      </c>
      <c r="C13" s="189" t="s">
        <v>56</v>
      </c>
      <c r="D13" s="190"/>
      <c r="E13" s="190"/>
      <c r="F13" s="190"/>
      <c r="G13" s="190"/>
      <c r="H13" s="190"/>
      <c r="I13" s="191"/>
      <c r="K13" s="184" t="s">
        <v>6</v>
      </c>
      <c r="L13" s="186" t="s">
        <v>56</v>
      </c>
      <c r="M13" s="187"/>
      <c r="N13" s="187"/>
      <c r="O13" s="187"/>
      <c r="P13" s="187"/>
      <c r="Q13" s="187"/>
      <c r="R13" s="188"/>
    </row>
    <row r="14" spans="1:18" x14ac:dyDescent="0.25">
      <c r="B14" s="185"/>
      <c r="C14" s="103" t="s">
        <v>0</v>
      </c>
      <c r="D14" s="104" t="s">
        <v>1</v>
      </c>
      <c r="E14" s="104" t="s">
        <v>2</v>
      </c>
      <c r="F14" s="104" t="s">
        <v>53</v>
      </c>
      <c r="G14" s="104" t="s">
        <v>54</v>
      </c>
      <c r="H14" s="104" t="s">
        <v>55</v>
      </c>
      <c r="I14" s="105" t="s">
        <v>21</v>
      </c>
      <c r="K14" s="185"/>
      <c r="L14" s="66" t="s">
        <v>0</v>
      </c>
      <c r="M14" s="67" t="s">
        <v>1</v>
      </c>
      <c r="N14" s="67" t="s">
        <v>2</v>
      </c>
      <c r="O14" s="67" t="s">
        <v>53</v>
      </c>
      <c r="P14" s="67" t="s">
        <v>54</v>
      </c>
      <c r="Q14" s="67" t="s">
        <v>55</v>
      </c>
      <c r="R14" s="100" t="s">
        <v>21</v>
      </c>
    </row>
    <row r="15" spans="1:18" x14ac:dyDescent="0.25">
      <c r="B15" s="93" t="s">
        <v>52</v>
      </c>
      <c r="C15" s="91">
        <v>0.152</v>
      </c>
      <c r="D15" s="92">
        <v>0.17100000000000001</v>
      </c>
      <c r="E15" s="92">
        <v>0.17899999999999999</v>
      </c>
      <c r="F15" s="92">
        <v>0.16200000000000001</v>
      </c>
      <c r="G15" s="98">
        <v>0.16700000000000001</v>
      </c>
      <c r="H15" s="98">
        <v>0.189</v>
      </c>
      <c r="I15" s="101"/>
      <c r="K15" s="93" t="s">
        <v>52</v>
      </c>
      <c r="L15" s="91">
        <v>0.16900000000000001</v>
      </c>
      <c r="M15" s="92">
        <v>0.151</v>
      </c>
      <c r="N15" s="92">
        <v>0.154</v>
      </c>
      <c r="O15" s="92">
        <v>0.16200000000000001</v>
      </c>
      <c r="P15" s="98">
        <v>0.161</v>
      </c>
      <c r="Q15" s="98">
        <v>0.189</v>
      </c>
      <c r="R15" s="101"/>
    </row>
    <row r="16" spans="1:18" x14ac:dyDescent="0.25">
      <c r="B16" s="93" t="s">
        <v>52</v>
      </c>
      <c r="C16" s="91">
        <v>0.156</v>
      </c>
      <c r="D16" s="92">
        <v>0.16600000000000001</v>
      </c>
      <c r="E16" s="92">
        <v>0.157</v>
      </c>
      <c r="F16" s="92">
        <v>0.15</v>
      </c>
      <c r="G16" s="98">
        <v>0.17100000000000001</v>
      </c>
      <c r="H16" s="98">
        <v>0.17400000000000002</v>
      </c>
      <c r="I16" s="101"/>
      <c r="K16" s="93" t="s">
        <v>52</v>
      </c>
      <c r="L16" s="91">
        <v>0.17699999999999999</v>
      </c>
      <c r="M16" s="92">
        <v>0.185</v>
      </c>
      <c r="N16" s="92">
        <v>0.185</v>
      </c>
      <c r="O16" s="92">
        <v>0.21099999999999999</v>
      </c>
      <c r="P16" s="98">
        <v>0.191</v>
      </c>
      <c r="Q16" s="98">
        <v>0.20700000000000002</v>
      </c>
      <c r="R16" s="101"/>
    </row>
    <row r="17" spans="2:18" x14ac:dyDescent="0.25">
      <c r="B17" s="93" t="s">
        <v>52</v>
      </c>
      <c r="C17" s="98">
        <v>0.17200000000000001</v>
      </c>
      <c r="D17" s="98">
        <v>0.17100000000000001</v>
      </c>
      <c r="E17" s="98">
        <v>0.17899999999999999</v>
      </c>
      <c r="F17" s="98">
        <v>0.16900000000000001</v>
      </c>
      <c r="G17" s="98">
        <v>0.17200000000000001</v>
      </c>
      <c r="H17" s="98">
        <v>0.154</v>
      </c>
      <c r="I17" s="101"/>
      <c r="K17" s="93" t="s">
        <v>52</v>
      </c>
      <c r="L17" s="98">
        <v>0.16800000000000001</v>
      </c>
      <c r="M17" s="98">
        <v>0.18</v>
      </c>
      <c r="N17" s="98">
        <v>0.18</v>
      </c>
      <c r="O17" s="98">
        <v>0.17699999999999999</v>
      </c>
      <c r="P17" s="98">
        <v>0.17699999999999999</v>
      </c>
      <c r="Q17" s="98">
        <v>0.16600000000000001</v>
      </c>
      <c r="R17" s="101"/>
    </row>
    <row r="18" spans="2:18" x14ac:dyDescent="0.25">
      <c r="B18" s="93" t="s">
        <v>52</v>
      </c>
      <c r="C18" s="98">
        <v>0.16200000000000001</v>
      </c>
      <c r="D18" s="98">
        <v>0.17599999999999999</v>
      </c>
      <c r="E18" s="98">
        <v>0.16200000000000001</v>
      </c>
      <c r="F18" s="98">
        <v>0.161</v>
      </c>
      <c r="G18" s="98">
        <v>0.16</v>
      </c>
      <c r="H18" s="98">
        <v>0.16800000000000001</v>
      </c>
      <c r="I18" s="101"/>
      <c r="K18" s="93" t="s">
        <v>52</v>
      </c>
      <c r="L18" s="98">
        <v>0.20400000000000001</v>
      </c>
      <c r="M18" s="98">
        <v>0.17100000000000001</v>
      </c>
      <c r="N18" s="98">
        <v>0.20600000000000002</v>
      </c>
      <c r="O18" s="98">
        <v>0.17500000000000002</v>
      </c>
      <c r="P18" s="98">
        <v>0.17599999999999999</v>
      </c>
      <c r="Q18" s="98">
        <v>0.19800000000000001</v>
      </c>
      <c r="R18" s="101"/>
    </row>
    <row r="19" spans="2:18" x14ac:dyDescent="0.25">
      <c r="B19" s="93" t="s">
        <v>52</v>
      </c>
      <c r="C19" s="97">
        <v>0.161</v>
      </c>
      <c r="D19" s="97">
        <v>0.17200000000000001</v>
      </c>
      <c r="E19" s="97">
        <v>0.193</v>
      </c>
      <c r="F19" s="97">
        <v>0.17599999999999999</v>
      </c>
      <c r="G19" s="97">
        <v>0.16200000000000001</v>
      </c>
      <c r="H19" s="98"/>
      <c r="I19" s="101">
        <f>AVERAGE(C15:H19)</f>
        <v>0.16772413793103444</v>
      </c>
      <c r="K19" s="93" t="s">
        <v>52</v>
      </c>
      <c r="L19" s="98">
        <v>0.18099999999999999</v>
      </c>
      <c r="M19" s="98">
        <v>0.20200000000000001</v>
      </c>
      <c r="N19" s="98">
        <v>0.19500000000000001</v>
      </c>
      <c r="O19" s="98">
        <v>0.19800000000000001</v>
      </c>
      <c r="P19" s="98">
        <v>0.16700000000000001</v>
      </c>
      <c r="Q19" s="98"/>
      <c r="R19" s="101">
        <f>AVERAGE(L15:Q19)</f>
        <v>0.18148275862068972</v>
      </c>
    </row>
    <row r="20" spans="2:18" x14ac:dyDescent="0.25">
      <c r="B20" s="94" t="s">
        <v>6</v>
      </c>
      <c r="C20" s="99">
        <v>0.191</v>
      </c>
      <c r="D20" s="99">
        <v>0.184</v>
      </c>
      <c r="E20" s="99">
        <v>0.17200000000000001</v>
      </c>
      <c r="F20" s="99"/>
      <c r="G20" s="99"/>
      <c r="H20" s="99"/>
      <c r="I20" s="102">
        <f>AVERAGE(C20:E20)</f>
        <v>0.18233333333333335</v>
      </c>
      <c r="K20" s="94" t="s">
        <v>6</v>
      </c>
      <c r="L20" s="99">
        <v>0.16400000000000001</v>
      </c>
      <c r="M20" s="99">
        <v>0.16500000000000001</v>
      </c>
      <c r="N20" s="99">
        <v>0.158</v>
      </c>
      <c r="O20" s="99"/>
      <c r="P20" s="99"/>
      <c r="Q20" s="99"/>
      <c r="R20" s="102">
        <f>AVERAGE(L20:N20)</f>
        <v>0.16233333333333333</v>
      </c>
    </row>
    <row r="21" spans="2:18" x14ac:dyDescent="0.25">
      <c r="C21" s="97"/>
      <c r="D21" s="97"/>
      <c r="E21" s="97"/>
      <c r="F21" s="97"/>
      <c r="G21" s="97"/>
      <c r="H21" s="97"/>
      <c r="I21" s="97"/>
    </row>
    <row r="22" spans="2:18" ht="15" customHeight="1" x14ac:dyDescent="0.25">
      <c r="B22" s="184" t="s">
        <v>7</v>
      </c>
      <c r="C22" s="189" t="s">
        <v>56</v>
      </c>
      <c r="D22" s="190"/>
      <c r="E22" s="190"/>
      <c r="F22" s="190"/>
      <c r="G22" s="190"/>
      <c r="H22" s="190"/>
      <c r="I22" s="191"/>
      <c r="K22" s="184" t="s">
        <v>7</v>
      </c>
      <c r="L22" s="186" t="s">
        <v>56</v>
      </c>
      <c r="M22" s="187"/>
      <c r="N22" s="187"/>
      <c r="O22" s="187"/>
      <c r="P22" s="187"/>
      <c r="Q22" s="187"/>
      <c r="R22" s="188"/>
    </row>
    <row r="23" spans="2:18" x14ac:dyDescent="0.25">
      <c r="B23" s="185"/>
      <c r="C23" s="103" t="s">
        <v>0</v>
      </c>
      <c r="D23" s="104" t="s">
        <v>1</v>
      </c>
      <c r="E23" s="104" t="s">
        <v>2</v>
      </c>
      <c r="F23" s="104" t="s">
        <v>53</v>
      </c>
      <c r="G23" s="104" t="s">
        <v>54</v>
      </c>
      <c r="H23" s="104" t="s">
        <v>55</v>
      </c>
      <c r="I23" s="105" t="s">
        <v>21</v>
      </c>
      <c r="K23" s="185"/>
      <c r="L23" s="66" t="s">
        <v>0</v>
      </c>
      <c r="M23" s="67" t="s">
        <v>1</v>
      </c>
      <c r="N23" s="67" t="s">
        <v>2</v>
      </c>
      <c r="O23" s="67" t="s">
        <v>53</v>
      </c>
      <c r="P23" s="67" t="s">
        <v>54</v>
      </c>
      <c r="Q23" s="67" t="s">
        <v>55</v>
      </c>
      <c r="R23" s="100" t="s">
        <v>21</v>
      </c>
    </row>
    <row r="24" spans="2:18" x14ac:dyDescent="0.25">
      <c r="B24" s="93" t="s">
        <v>52</v>
      </c>
      <c r="C24" s="91">
        <v>0.121</v>
      </c>
      <c r="D24" s="92">
        <v>0.113</v>
      </c>
      <c r="E24" s="92">
        <v>0.11900000000000001</v>
      </c>
      <c r="F24" s="92">
        <v>0.11800000000000001</v>
      </c>
      <c r="G24" s="98">
        <v>0.113</v>
      </c>
      <c r="H24" s="98">
        <v>0.112</v>
      </c>
      <c r="I24" s="101"/>
      <c r="K24" s="93" t="s">
        <v>52</v>
      </c>
      <c r="L24" s="91">
        <v>0.19400000000000001</v>
      </c>
      <c r="M24" s="92">
        <v>0.17899999999999999</v>
      </c>
      <c r="N24" s="92">
        <v>0.106</v>
      </c>
      <c r="O24" s="92">
        <v>0.27300000000000002</v>
      </c>
      <c r="P24" s="98">
        <v>0.248</v>
      </c>
      <c r="Q24" s="98">
        <v>0.26100000000000001</v>
      </c>
      <c r="R24" s="101"/>
    </row>
    <row r="25" spans="2:18" x14ac:dyDescent="0.25">
      <c r="B25" s="93" t="s">
        <v>52</v>
      </c>
      <c r="C25" s="91">
        <v>0.123</v>
      </c>
      <c r="D25" s="92">
        <v>0.12</v>
      </c>
      <c r="E25" s="92">
        <v>0.123</v>
      </c>
      <c r="F25" s="92">
        <v>0.124</v>
      </c>
      <c r="G25" s="98">
        <v>0.124</v>
      </c>
      <c r="H25" s="98">
        <v>0.122</v>
      </c>
      <c r="I25" s="101"/>
      <c r="K25" s="93" t="s">
        <v>52</v>
      </c>
      <c r="L25" s="91">
        <v>0.22500000000000001</v>
      </c>
      <c r="M25" s="92">
        <v>0.223</v>
      </c>
      <c r="N25" s="92">
        <v>0.106</v>
      </c>
      <c r="O25" s="92">
        <v>0.26600000000000001</v>
      </c>
      <c r="P25" s="98">
        <v>0.191</v>
      </c>
      <c r="Q25" s="98">
        <v>0.41200000000000003</v>
      </c>
      <c r="R25" s="101"/>
    </row>
    <row r="26" spans="2:18" x14ac:dyDescent="0.25">
      <c r="B26" s="93" t="s">
        <v>52</v>
      </c>
      <c r="C26" s="98">
        <v>0.11700000000000001</v>
      </c>
      <c r="D26" s="98">
        <v>0.11800000000000001</v>
      </c>
      <c r="E26" s="98">
        <v>0.113</v>
      </c>
      <c r="F26" s="98">
        <v>0.122</v>
      </c>
      <c r="G26" s="98">
        <v>0.11600000000000001</v>
      </c>
      <c r="H26" s="98">
        <v>0.11900000000000001</v>
      </c>
      <c r="I26" s="101"/>
      <c r="K26" s="93" t="s">
        <v>52</v>
      </c>
      <c r="L26" s="98">
        <v>0.18099999999999999</v>
      </c>
      <c r="M26" s="98">
        <v>0.42199999999999999</v>
      </c>
      <c r="N26" s="98">
        <v>0.23100000000000001</v>
      </c>
      <c r="O26" s="98">
        <v>0.191</v>
      </c>
      <c r="P26" s="98">
        <v>0.19600000000000001</v>
      </c>
      <c r="Q26" s="98">
        <v>0.25900000000000001</v>
      </c>
      <c r="R26" s="101"/>
    </row>
    <row r="27" spans="2:18" x14ac:dyDescent="0.25">
      <c r="B27" s="93" t="s">
        <v>52</v>
      </c>
      <c r="C27" s="98">
        <v>0.124</v>
      </c>
      <c r="D27" s="98">
        <v>0.124</v>
      </c>
      <c r="E27" s="98">
        <v>0.123</v>
      </c>
      <c r="F27" s="98">
        <v>0.12</v>
      </c>
      <c r="G27" s="98">
        <v>0.121</v>
      </c>
      <c r="H27" s="98">
        <v>0.124</v>
      </c>
      <c r="I27" s="101"/>
      <c r="K27" s="93" t="s">
        <v>52</v>
      </c>
      <c r="L27" s="98">
        <v>0.17799999999999999</v>
      </c>
      <c r="M27" s="98">
        <v>0.26300000000000001</v>
      </c>
      <c r="N27" s="98">
        <v>0.223</v>
      </c>
      <c r="O27" s="98">
        <v>0.20800000000000002</v>
      </c>
      <c r="P27" s="98">
        <v>0.18099999999999999</v>
      </c>
      <c r="Q27" s="98">
        <v>0.20500000000000002</v>
      </c>
      <c r="R27" s="101"/>
    </row>
    <row r="28" spans="2:18" x14ac:dyDescent="0.25">
      <c r="B28" s="93" t="s">
        <v>52</v>
      </c>
      <c r="C28" s="97">
        <v>0.11700000000000001</v>
      </c>
      <c r="D28" s="97">
        <v>0.11600000000000001</v>
      </c>
      <c r="E28" s="97">
        <v>0.123</v>
      </c>
      <c r="F28" s="97">
        <v>0.128</v>
      </c>
      <c r="G28" s="97">
        <v>0.12</v>
      </c>
      <c r="H28" s="98"/>
      <c r="I28" s="101">
        <f>AVERAGE(C24:H28)</f>
        <v>0.11989655172413798</v>
      </c>
      <c r="K28" s="93" t="s">
        <v>52</v>
      </c>
      <c r="L28" s="98">
        <v>0.18099999999999999</v>
      </c>
      <c r="M28" s="98">
        <v>0.183</v>
      </c>
      <c r="N28" s="98">
        <v>0.35199999999999998</v>
      </c>
      <c r="O28" s="98">
        <v>0.253</v>
      </c>
      <c r="P28" s="98">
        <v>0.216</v>
      </c>
      <c r="Q28" s="98"/>
      <c r="R28" s="101">
        <f>AVERAGE(L24:Q28)</f>
        <v>0.22782758620689658</v>
      </c>
    </row>
    <row r="29" spans="2:18" x14ac:dyDescent="0.25">
      <c r="B29" s="94" t="s">
        <v>7</v>
      </c>
      <c r="C29" s="99">
        <v>0.128</v>
      </c>
      <c r="D29" s="99">
        <v>0.121</v>
      </c>
      <c r="E29" s="99">
        <v>0.121</v>
      </c>
      <c r="F29" s="99"/>
      <c r="G29" s="99"/>
      <c r="H29" s="99"/>
      <c r="I29" s="102">
        <f>AVERAGE(C29:E29)</f>
        <v>0.12333333333333334</v>
      </c>
      <c r="K29" s="94" t="s">
        <v>7</v>
      </c>
      <c r="L29" s="99">
        <v>0.191</v>
      </c>
      <c r="M29" s="99">
        <v>0.20899999999999999</v>
      </c>
      <c r="N29" s="99"/>
      <c r="O29" s="99"/>
      <c r="P29" s="99"/>
      <c r="Q29" s="99"/>
      <c r="R29" s="102">
        <f>AVERAGE(L29:N29)</f>
        <v>0.2</v>
      </c>
    </row>
    <row r="31" spans="2:18" x14ac:dyDescent="0.25">
      <c r="B31" s="30" t="s">
        <v>87</v>
      </c>
    </row>
    <row r="32" spans="2:18" x14ac:dyDescent="0.25">
      <c r="B32" t="s">
        <v>88</v>
      </c>
    </row>
  </sheetData>
  <mergeCells count="12">
    <mergeCell ref="B4:B5"/>
    <mergeCell ref="B13:B14"/>
    <mergeCell ref="B22:B23"/>
    <mergeCell ref="C4:I4"/>
    <mergeCell ref="C13:I13"/>
    <mergeCell ref="C22:I22"/>
    <mergeCell ref="K4:K5"/>
    <mergeCell ref="L4:R4"/>
    <mergeCell ref="K13:K14"/>
    <mergeCell ref="L13:R13"/>
    <mergeCell ref="K22:K23"/>
    <mergeCell ref="L22:R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activeCell="K16" sqref="K16"/>
    </sheetView>
  </sheetViews>
  <sheetFormatPr defaultRowHeight="15" x14ac:dyDescent="0.25"/>
  <cols>
    <col min="1" max="1" width="20.7109375" customWidth="1"/>
    <col min="2" max="2" width="12.7109375" customWidth="1"/>
  </cols>
  <sheetData>
    <row r="1" spans="1:13" x14ac:dyDescent="0.25">
      <c r="A1" t="s">
        <v>72</v>
      </c>
      <c r="B1" s="111"/>
      <c r="C1" s="111"/>
      <c r="D1" s="111"/>
      <c r="E1" s="111"/>
      <c r="F1" s="111"/>
      <c r="K1" s="1"/>
      <c r="L1" s="1"/>
      <c r="M1" s="1"/>
    </row>
    <row r="2" spans="1:13" x14ac:dyDescent="0.25">
      <c r="A2" s="135" t="s">
        <v>67</v>
      </c>
      <c r="B2" s="196" t="s">
        <v>66</v>
      </c>
      <c r="C2" s="193" t="s">
        <v>73</v>
      </c>
      <c r="D2" s="194"/>
      <c r="E2" s="194"/>
      <c r="F2" s="195"/>
      <c r="G2" s="193" t="s">
        <v>74</v>
      </c>
      <c r="H2" s="194"/>
      <c r="I2" s="194"/>
      <c r="J2" s="195"/>
      <c r="K2" s="192"/>
      <c r="L2" s="192"/>
      <c r="M2" s="1"/>
    </row>
    <row r="3" spans="1:13" ht="25.5" customHeight="1" x14ac:dyDescent="0.25">
      <c r="A3" s="122"/>
      <c r="B3" s="197"/>
      <c r="C3" s="112" t="s">
        <v>59</v>
      </c>
      <c r="D3" s="113" t="s">
        <v>60</v>
      </c>
      <c r="E3" s="114" t="s">
        <v>61</v>
      </c>
      <c r="F3" s="141" t="s">
        <v>65</v>
      </c>
      <c r="G3" s="122" t="s">
        <v>59</v>
      </c>
      <c r="H3" s="115" t="s">
        <v>60</v>
      </c>
      <c r="I3" s="116" t="s">
        <v>61</v>
      </c>
      <c r="J3" s="141" t="s">
        <v>21</v>
      </c>
      <c r="K3" s="127"/>
      <c r="L3" s="127"/>
      <c r="M3" s="1"/>
    </row>
    <row r="4" spans="1:13" x14ac:dyDescent="0.25">
      <c r="A4" s="136" t="s">
        <v>64</v>
      </c>
      <c r="B4" s="130"/>
      <c r="C4" s="131">
        <v>10</v>
      </c>
      <c r="D4" s="117">
        <v>10</v>
      </c>
      <c r="E4" s="118">
        <v>10</v>
      </c>
      <c r="F4" s="142">
        <f>AVERAGE(C4:E4)</f>
        <v>10</v>
      </c>
      <c r="G4" s="131">
        <v>10</v>
      </c>
      <c r="H4" s="117">
        <v>10</v>
      </c>
      <c r="I4" s="118">
        <v>10</v>
      </c>
      <c r="J4" s="142">
        <f>AVERAGE(G4:I4)</f>
        <v>10</v>
      </c>
      <c r="K4" s="120"/>
      <c r="L4" s="119"/>
      <c r="M4" s="1"/>
    </row>
    <row r="5" spans="1:13" x14ac:dyDescent="0.25">
      <c r="A5" s="137" t="s">
        <v>62</v>
      </c>
      <c r="B5" s="120" t="s">
        <v>63</v>
      </c>
      <c r="C5" s="131">
        <v>10</v>
      </c>
      <c r="D5" s="117">
        <v>10</v>
      </c>
      <c r="E5" s="118">
        <v>10</v>
      </c>
      <c r="F5" s="142">
        <f t="shared" ref="F5:F7" si="0">AVERAGE(C5:E5)</f>
        <v>10</v>
      </c>
      <c r="G5" s="131">
        <v>10</v>
      </c>
      <c r="H5" s="117">
        <v>10</v>
      </c>
      <c r="I5" s="118">
        <v>10</v>
      </c>
      <c r="J5" s="142">
        <f t="shared" ref="J5:J7" si="1">AVERAGE(G5:I5)</f>
        <v>10</v>
      </c>
      <c r="K5" s="120"/>
      <c r="L5" s="129"/>
      <c r="M5" s="1"/>
    </row>
    <row r="6" spans="1:13" x14ac:dyDescent="0.25">
      <c r="A6" s="137" t="s">
        <v>7</v>
      </c>
      <c r="B6" s="120" t="s">
        <v>63</v>
      </c>
      <c r="C6" s="131">
        <v>10</v>
      </c>
      <c r="D6" s="117">
        <v>10</v>
      </c>
      <c r="E6" s="118">
        <v>10</v>
      </c>
      <c r="F6" s="142">
        <f t="shared" si="0"/>
        <v>10</v>
      </c>
      <c r="G6" s="131">
        <v>10</v>
      </c>
      <c r="H6" s="117">
        <v>10</v>
      </c>
      <c r="I6" s="118">
        <v>10</v>
      </c>
      <c r="J6" s="142">
        <f t="shared" si="1"/>
        <v>10</v>
      </c>
      <c r="K6" s="120"/>
      <c r="L6" s="119"/>
      <c r="M6" s="1"/>
    </row>
    <row r="7" spans="1:13" x14ac:dyDescent="0.25">
      <c r="A7" s="138" t="s">
        <v>6</v>
      </c>
      <c r="B7" s="139" t="s">
        <v>63</v>
      </c>
      <c r="C7" s="132">
        <v>9</v>
      </c>
      <c r="D7" s="133">
        <v>10</v>
      </c>
      <c r="E7" s="134">
        <v>10</v>
      </c>
      <c r="F7" s="143">
        <f t="shared" si="0"/>
        <v>9.6666666666666661</v>
      </c>
      <c r="G7" s="132">
        <v>9</v>
      </c>
      <c r="H7" s="133">
        <v>9</v>
      </c>
      <c r="I7" s="134">
        <v>10</v>
      </c>
      <c r="J7" s="143">
        <f t="shared" si="1"/>
        <v>9.3333333333333339</v>
      </c>
      <c r="K7" s="120"/>
      <c r="L7" s="119"/>
      <c r="M7" s="1"/>
    </row>
    <row r="8" spans="1:13" x14ac:dyDescent="0.25">
      <c r="A8" s="120"/>
      <c r="B8" s="120"/>
      <c r="C8" s="117"/>
      <c r="D8" s="117"/>
      <c r="E8" s="118"/>
      <c r="F8" s="119"/>
      <c r="G8" s="117"/>
      <c r="H8" s="117"/>
      <c r="I8" s="118"/>
      <c r="J8" s="119"/>
      <c r="K8" s="120"/>
      <c r="L8" s="127"/>
      <c r="M8" s="1"/>
    </row>
    <row r="9" spans="1:13" x14ac:dyDescent="0.25">
      <c r="A9" s="30" t="s">
        <v>87</v>
      </c>
      <c r="B9" s="120"/>
      <c r="C9" s="117"/>
      <c r="D9" s="117"/>
      <c r="E9" s="117"/>
      <c r="F9" s="119"/>
      <c r="G9" s="117"/>
      <c r="H9" s="117"/>
      <c r="I9" s="121"/>
      <c r="J9" s="119"/>
      <c r="K9" s="120"/>
      <c r="L9" s="1"/>
      <c r="M9" s="1"/>
    </row>
    <row r="10" spans="1:13" x14ac:dyDescent="0.25">
      <c r="A10" t="s">
        <v>88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"/>
      <c r="L10" s="1"/>
      <c r="M10" s="1"/>
    </row>
    <row r="11" spans="1:13" x14ac:dyDescent="0.25">
      <c r="A11" s="1"/>
      <c r="B11" s="126"/>
      <c r="C11" s="126"/>
      <c r="D11" s="126"/>
      <c r="E11" s="126"/>
      <c r="F11" s="127"/>
      <c r="G11" s="126"/>
      <c r="H11" s="126"/>
      <c r="I11" s="127"/>
      <c r="J11" s="127"/>
      <c r="K11" s="128"/>
      <c r="L11" s="123"/>
      <c r="M11" s="1"/>
    </row>
    <row r="12" spans="1:13" x14ac:dyDescent="0.25">
      <c r="A12" s="1"/>
      <c r="B12" s="120"/>
      <c r="C12" s="124"/>
      <c r="D12" s="124"/>
      <c r="E12" s="124"/>
      <c r="F12" s="125"/>
      <c r="G12" s="124"/>
      <c r="H12" s="124"/>
      <c r="I12" s="125"/>
      <c r="J12" s="125"/>
      <c r="K12" s="1"/>
      <c r="L12" s="1"/>
      <c r="M12" s="1"/>
    </row>
    <row r="13" spans="1:13" x14ac:dyDescent="0.25">
      <c r="A13" s="1"/>
      <c r="B13" s="120"/>
      <c r="C13" s="124"/>
      <c r="D13" s="124"/>
      <c r="E13" s="124"/>
      <c r="F13" s="125"/>
      <c r="G13" s="124"/>
      <c r="H13" s="124"/>
      <c r="I13" s="125"/>
      <c r="J13" s="125"/>
      <c r="K13" s="1"/>
      <c r="L13" s="1"/>
      <c r="M13" s="1"/>
    </row>
    <row r="14" spans="1:13" x14ac:dyDescent="0.25">
      <c r="A14" s="1"/>
      <c r="B14" s="120"/>
      <c r="C14" s="124"/>
      <c r="D14" s="124"/>
      <c r="E14" s="124"/>
      <c r="F14" s="125"/>
      <c r="G14" s="124"/>
      <c r="H14" s="124"/>
      <c r="I14" s="125"/>
      <c r="J14" s="125"/>
      <c r="K14" s="1"/>
      <c r="L14" s="1"/>
      <c r="M14" s="1"/>
    </row>
    <row r="15" spans="1:13" x14ac:dyDescent="0.25">
      <c r="A15" s="1"/>
      <c r="B15" s="120"/>
      <c r="C15" s="124"/>
      <c r="D15" s="124"/>
      <c r="E15" s="124"/>
      <c r="F15" s="125"/>
      <c r="G15" s="124"/>
      <c r="H15" s="124"/>
      <c r="I15" s="125"/>
      <c r="J15" s="125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</sheetData>
  <mergeCells count="4">
    <mergeCell ref="K2:L2"/>
    <mergeCell ref="C2:F2"/>
    <mergeCell ref="G2:J2"/>
    <mergeCell ref="B2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A22" sqref="A22"/>
    </sheetView>
  </sheetViews>
  <sheetFormatPr defaultRowHeight="15" x14ac:dyDescent="0.25"/>
  <sheetData>
    <row r="1" spans="1:7" x14ac:dyDescent="0.25">
      <c r="A1" t="s">
        <v>82</v>
      </c>
    </row>
    <row r="2" spans="1:7" ht="15.75" thickBot="1" x14ac:dyDescent="0.3">
      <c r="A2" t="s">
        <v>83</v>
      </c>
    </row>
    <row r="3" spans="1:7" ht="14.45" customHeight="1" x14ac:dyDescent="0.25">
      <c r="A3" s="208" t="s">
        <v>42</v>
      </c>
      <c r="B3" s="198" t="s">
        <v>84</v>
      </c>
      <c r="C3" s="200" t="s">
        <v>85</v>
      </c>
      <c r="D3" s="200"/>
      <c r="E3" s="200"/>
      <c r="F3" s="200"/>
      <c r="G3" s="201"/>
    </row>
    <row r="4" spans="1:7" ht="14.45" customHeight="1" thickBot="1" x14ac:dyDescent="0.3">
      <c r="A4" s="209"/>
      <c r="B4" s="199"/>
      <c r="C4" s="146" t="s">
        <v>59</v>
      </c>
      <c r="D4" s="146" t="s">
        <v>60</v>
      </c>
      <c r="E4" s="146" t="s">
        <v>61</v>
      </c>
      <c r="F4" s="146" t="s">
        <v>86</v>
      </c>
      <c r="G4" s="155" t="s">
        <v>21</v>
      </c>
    </row>
    <row r="5" spans="1:7" ht="14.45" customHeight="1" x14ac:dyDescent="0.25">
      <c r="A5" s="202" t="s">
        <v>75</v>
      </c>
      <c r="B5" s="147" t="s">
        <v>76</v>
      </c>
      <c r="C5" s="148">
        <v>0</v>
      </c>
      <c r="D5" s="148">
        <v>0</v>
      </c>
      <c r="E5" s="148">
        <v>1.2008867332941557</v>
      </c>
      <c r="F5" s="148">
        <v>3.4146341463414567</v>
      </c>
      <c r="G5" s="149">
        <f>AVERAGE(C5:F5)</f>
        <v>1.1538802199089031</v>
      </c>
    </row>
    <row r="6" spans="1:7" x14ac:dyDescent="0.25">
      <c r="A6" s="203"/>
      <c r="B6" s="144" t="s">
        <v>77</v>
      </c>
      <c r="C6" s="145">
        <v>0</v>
      </c>
      <c r="D6" s="145">
        <v>9.2682926829268233</v>
      </c>
      <c r="E6" s="145"/>
      <c r="F6" s="44"/>
      <c r="G6" s="150">
        <f>AVERAGE(C6:E6)</f>
        <v>4.6341463414634116</v>
      </c>
    </row>
    <row r="7" spans="1:7" x14ac:dyDescent="0.25">
      <c r="A7" s="203"/>
      <c r="B7" s="144" t="s">
        <v>78</v>
      </c>
      <c r="C7" s="145">
        <v>10.243902439024383</v>
      </c>
      <c r="D7" s="145">
        <v>13.378159905937697</v>
      </c>
      <c r="E7" s="145">
        <v>0</v>
      </c>
      <c r="F7" s="44"/>
      <c r="G7" s="150">
        <f>AVERAGE(C7:E7)</f>
        <v>7.8740207816540275</v>
      </c>
    </row>
    <row r="8" spans="1:7" x14ac:dyDescent="0.25">
      <c r="A8" s="203"/>
      <c r="B8" s="144" t="s">
        <v>63</v>
      </c>
      <c r="C8" s="145">
        <v>14.146341463414629</v>
      </c>
      <c r="D8" s="145">
        <v>26.4039310068191</v>
      </c>
      <c r="E8" s="145">
        <v>30.484927167025944</v>
      </c>
      <c r="F8" s="145">
        <v>18.048780487804873</v>
      </c>
      <c r="G8" s="150">
        <f t="shared" ref="G8:G19" si="0">AVERAGE(C8:F8)</f>
        <v>22.270995031266136</v>
      </c>
    </row>
    <row r="9" spans="1:7" ht="15.75" thickBot="1" x14ac:dyDescent="0.3">
      <c r="A9" s="204"/>
      <c r="B9" s="151" t="s">
        <v>79</v>
      </c>
      <c r="C9" s="152">
        <v>47.317073170731703</v>
      </c>
      <c r="D9" s="152">
        <v>50.021098035538472</v>
      </c>
      <c r="E9" s="152">
        <v>46.013708513708522</v>
      </c>
      <c r="F9" s="152"/>
      <c r="G9" s="153">
        <f t="shared" si="0"/>
        <v>47.783959906659561</v>
      </c>
    </row>
    <row r="10" spans="1:7" ht="14.45" customHeight="1" x14ac:dyDescent="0.25">
      <c r="A10" s="205" t="s">
        <v>80</v>
      </c>
      <c r="B10" s="147" t="s">
        <v>76</v>
      </c>
      <c r="C10" s="148">
        <v>0</v>
      </c>
      <c r="D10" s="148">
        <v>4.8478597215059374</v>
      </c>
      <c r="E10" s="148">
        <v>10.616304134822666</v>
      </c>
      <c r="F10" s="148"/>
      <c r="G10" s="149">
        <f t="shared" si="0"/>
        <v>5.1547212854428679</v>
      </c>
    </row>
    <row r="11" spans="1:7" x14ac:dyDescent="0.25">
      <c r="A11" s="206"/>
      <c r="B11" s="144" t="s">
        <v>77</v>
      </c>
      <c r="C11" s="145">
        <v>2.4390243902438953</v>
      </c>
      <c r="D11" s="145">
        <v>0</v>
      </c>
      <c r="E11" s="145">
        <v>0</v>
      </c>
      <c r="F11" s="44"/>
      <c r="G11" s="150">
        <f>AVERAGE(C11:E11)</f>
        <v>0.81300813008129846</v>
      </c>
    </row>
    <row r="12" spans="1:7" x14ac:dyDescent="0.25">
      <c r="A12" s="206"/>
      <c r="B12" s="144" t="s">
        <v>78</v>
      </c>
      <c r="C12" s="145">
        <v>0</v>
      </c>
      <c r="D12" s="145">
        <v>0</v>
      </c>
      <c r="E12" s="145">
        <v>0</v>
      </c>
      <c r="F12" s="145">
        <v>3.4146341463414558</v>
      </c>
      <c r="G12" s="150">
        <f t="shared" si="0"/>
        <v>0.85365853658536395</v>
      </c>
    </row>
    <row r="13" spans="1:7" x14ac:dyDescent="0.25">
      <c r="A13" s="206"/>
      <c r="B13" s="144" t="s">
        <v>63</v>
      </c>
      <c r="C13" s="145">
        <v>0</v>
      </c>
      <c r="D13" s="145">
        <v>2.4984241590739913</v>
      </c>
      <c r="E13" s="145">
        <v>0</v>
      </c>
      <c r="F13" s="145">
        <v>0</v>
      </c>
      <c r="G13" s="150">
        <f t="shared" si="0"/>
        <v>0.62460603976849782</v>
      </c>
    </row>
    <row r="14" spans="1:7" ht="15.75" thickBot="1" x14ac:dyDescent="0.3">
      <c r="A14" s="207"/>
      <c r="B14" s="151" t="s">
        <v>79</v>
      </c>
      <c r="C14" s="152">
        <v>29.756097560975604</v>
      </c>
      <c r="D14" s="152">
        <v>42.644404332129966</v>
      </c>
      <c r="E14" s="152"/>
      <c r="F14" s="152"/>
      <c r="G14" s="153">
        <f t="shared" si="0"/>
        <v>36.200250946552785</v>
      </c>
    </row>
    <row r="15" spans="1:7" ht="14.45" customHeight="1" x14ac:dyDescent="0.25">
      <c r="A15" s="205" t="s">
        <v>81</v>
      </c>
      <c r="B15" s="147" t="s">
        <v>76</v>
      </c>
      <c r="C15" s="148">
        <v>0</v>
      </c>
      <c r="D15" s="148">
        <v>15.200060168471722</v>
      </c>
      <c r="E15" s="148">
        <v>12.195121951219505</v>
      </c>
      <c r="F15" s="154"/>
      <c r="G15" s="149">
        <f>AVERAGE(C15:E15)</f>
        <v>9.1317273732304098</v>
      </c>
    </row>
    <row r="16" spans="1:7" x14ac:dyDescent="0.25">
      <c r="A16" s="206"/>
      <c r="B16" s="144" t="s">
        <v>77</v>
      </c>
      <c r="C16" s="145">
        <v>0</v>
      </c>
      <c r="D16" s="145">
        <v>0</v>
      </c>
      <c r="E16" s="145">
        <v>0</v>
      </c>
      <c r="F16" s="145">
        <v>0</v>
      </c>
      <c r="G16" s="150">
        <f t="shared" si="0"/>
        <v>0</v>
      </c>
    </row>
    <row r="17" spans="1:7" x14ac:dyDescent="0.25">
      <c r="A17" s="206"/>
      <c r="B17" s="144" t="s">
        <v>78</v>
      </c>
      <c r="C17" s="145">
        <v>0</v>
      </c>
      <c r="D17" s="145">
        <v>6.0466882226141623</v>
      </c>
      <c r="E17" s="145">
        <v>0</v>
      </c>
      <c r="F17" s="44"/>
      <c r="G17" s="150">
        <f>AVERAGE(C17:E17)</f>
        <v>2.0155627408713874</v>
      </c>
    </row>
    <row r="18" spans="1:7" x14ac:dyDescent="0.25">
      <c r="A18" s="206"/>
      <c r="B18" s="144" t="s">
        <v>63</v>
      </c>
      <c r="C18" s="145">
        <v>0</v>
      </c>
      <c r="D18" s="145">
        <v>2.2047447137699905</v>
      </c>
      <c r="E18" s="145">
        <v>11.796369782480909</v>
      </c>
      <c r="F18" s="145"/>
      <c r="G18" s="150">
        <f t="shared" si="0"/>
        <v>4.6670381654169661</v>
      </c>
    </row>
    <row r="19" spans="1:7" ht="15.75" thickBot="1" x14ac:dyDescent="0.3">
      <c r="A19" s="207"/>
      <c r="B19" s="151" t="s">
        <v>79</v>
      </c>
      <c r="C19" s="152">
        <v>25.85365853658536</v>
      </c>
      <c r="D19" s="152">
        <v>43.569494584837543</v>
      </c>
      <c r="E19" s="152">
        <v>15.637860082304538</v>
      </c>
      <c r="F19" s="152"/>
      <c r="G19" s="153">
        <f t="shared" si="0"/>
        <v>28.353671067909147</v>
      </c>
    </row>
    <row r="21" spans="1:7" x14ac:dyDescent="0.25">
      <c r="A21" s="30" t="s">
        <v>87</v>
      </c>
    </row>
    <row r="22" spans="1:7" x14ac:dyDescent="0.25">
      <c r="A22" t="s">
        <v>88</v>
      </c>
    </row>
  </sheetData>
  <mergeCells count="6">
    <mergeCell ref="B3:B4"/>
    <mergeCell ref="C3:G3"/>
    <mergeCell ref="A5:A9"/>
    <mergeCell ref="A10:A14"/>
    <mergeCell ref="A15:A19"/>
    <mergeCell ref="A3:A4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6</vt:i4>
      </vt:variant>
    </vt:vector>
  </HeadingPairs>
  <TitlesOfParts>
    <vt:vector size="6" baseType="lpstr">
      <vt:lpstr>Triticum aestivum</vt:lpstr>
      <vt:lpstr>Sinapis alba</vt:lpstr>
      <vt:lpstr>Lemna minor</vt:lpstr>
      <vt:lpstr>Tetrahymena pyriformis</vt:lpstr>
      <vt:lpstr>Daphnia magna</vt:lpstr>
      <vt:lpstr>Panagrellus redivius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Feigl Viktória</dc:creator>
  <cp:lastModifiedBy>Feigl Viktória</cp:lastModifiedBy>
  <dcterms:created xsi:type="dcterms:W3CDTF">2022-12-09T18:10:15Z</dcterms:created>
  <dcterms:modified xsi:type="dcterms:W3CDTF">2022-12-16T18:11:07Z</dcterms:modified>
</cp:coreProperties>
</file>