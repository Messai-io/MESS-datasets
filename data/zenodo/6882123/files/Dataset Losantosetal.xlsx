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acondicionamiento-my.sharepoint.com/personal/eborras_leitat_org/Documents/Desktop/"/>
    </mc:Choice>
  </mc:AlternateContent>
  <xr:revisionPtr revIDLastSave="7" documentId="8_{4EED7676-30AA-497B-99E9-ABFD6D927E64}" xr6:coauthVersionLast="47" xr6:coauthVersionMax="47" xr10:uidLastSave="{1DFFFCC9-3CCA-49C4-8747-70C9B03223ED}"/>
  <bookViews>
    <workbookView xWindow="-120" yWindow="-16320" windowWidth="29040" windowHeight="15840" activeTab="3" xr2:uid="{00000000-000D-0000-FFFF-FFFF00000000}"/>
  </bookViews>
  <sheets>
    <sheet name="Cell 1" sheetId="1" r:id="rId1"/>
    <sheet name="Cell 2" sheetId="2" r:id="rId2"/>
    <sheet name="Graphics &amp; figures" sheetId="5" r:id="rId3"/>
    <sheet name="Table resume" sheetId="9" r:id="rId4"/>
  </sheets>
  <definedNames>
    <definedName name="solver_adj" localSheetId="0" hidden="1">'Cell 1'!$AW$7</definedName>
    <definedName name="solver_adj" localSheetId="1" hidden="1">'Cell 2'!$AW$6</definedName>
    <definedName name="solver_cvg" localSheetId="0" hidden="1">0.0001</definedName>
    <definedName name="solver_cvg" localSheetId="1" hidden="1">0.0001</definedName>
    <definedName name="solver_drv" localSheetId="0" hidden="1">1</definedName>
    <definedName name="solver_drv" localSheetId="1" hidden="1">1</definedName>
    <definedName name="solver_eng" localSheetId="0" hidden="1">1</definedName>
    <definedName name="solver_eng" localSheetId="1" hidden="1">1</definedName>
    <definedName name="solver_est" localSheetId="0" hidden="1">1</definedName>
    <definedName name="solver_est" localSheetId="1" hidden="1">1</definedName>
    <definedName name="solver_itr" localSheetId="0" hidden="1">2147483647</definedName>
    <definedName name="solver_itr" localSheetId="1" hidden="1">2147483647</definedName>
    <definedName name="solver_lhs0" localSheetId="0" hidden="1">'Cell 1'!$AW$4</definedName>
    <definedName name="solver_lhs1" localSheetId="0" hidden="1">'Cell 1'!$AW$7</definedName>
    <definedName name="solver_lhs1" localSheetId="1" hidden="1">'Cell 2'!$AW$6</definedName>
    <definedName name="solver_lhs2" localSheetId="0" hidden="1">'Cell 1'!$AW$7</definedName>
    <definedName name="solver_lhs2" localSheetId="1" hidden="1">'Cell 2'!$AW$6</definedName>
    <definedName name="solver_lhs3" localSheetId="0" hidden="1">'Cell 1'!$AW$4</definedName>
    <definedName name="solver_mip" localSheetId="0" hidden="1">2147483647</definedName>
    <definedName name="solver_mip" localSheetId="1" hidden="1">2147483647</definedName>
    <definedName name="solver_mni" localSheetId="0" hidden="1">30</definedName>
    <definedName name="solver_mni" localSheetId="1" hidden="1">30</definedName>
    <definedName name="solver_mrt" localSheetId="0" hidden="1">0.075</definedName>
    <definedName name="solver_mrt" localSheetId="1" hidden="1">0.075</definedName>
    <definedName name="solver_msl" localSheetId="0" hidden="1">2</definedName>
    <definedName name="solver_msl" localSheetId="1" hidden="1">2</definedName>
    <definedName name="solver_neg" localSheetId="0" hidden="1">1</definedName>
    <definedName name="solver_neg" localSheetId="1" hidden="1">1</definedName>
    <definedName name="solver_nod" localSheetId="0" hidden="1">2147483647</definedName>
    <definedName name="solver_nod" localSheetId="1" hidden="1">2147483647</definedName>
    <definedName name="solver_num" localSheetId="0" hidden="1">2</definedName>
    <definedName name="solver_num" localSheetId="1" hidden="1">2</definedName>
    <definedName name="solver_nwt" localSheetId="0" hidden="1">1</definedName>
    <definedName name="solver_nwt" localSheetId="1" hidden="1">1</definedName>
    <definedName name="solver_opt" localSheetId="0" hidden="1">'Cell 1'!#REF!</definedName>
    <definedName name="solver_opt" localSheetId="1" hidden="1">'Cell 2'!#REF!</definedName>
    <definedName name="solver_pre" localSheetId="0" hidden="1">0.000001</definedName>
    <definedName name="solver_pre" localSheetId="1" hidden="1">0.000001</definedName>
    <definedName name="solver_rbv" localSheetId="0" hidden="1">1</definedName>
    <definedName name="solver_rbv" localSheetId="1" hidden="1">1</definedName>
    <definedName name="solver_rel0" localSheetId="0" hidden="1">3</definedName>
    <definedName name="solver_rel1" localSheetId="0" hidden="1">1</definedName>
    <definedName name="solver_rel1" localSheetId="1" hidden="1">1</definedName>
    <definedName name="solver_rel2" localSheetId="0" hidden="1">3</definedName>
    <definedName name="solver_rel2" localSheetId="1" hidden="1">3</definedName>
    <definedName name="solver_rel3" localSheetId="0" hidden="1">3</definedName>
    <definedName name="solver_rhs0" localSheetId="0" hidden="1">0.03</definedName>
    <definedName name="solver_rhs1" localSheetId="0" hidden="1">-0.01</definedName>
    <definedName name="solver_rhs1" localSheetId="1" hidden="1">-0.01</definedName>
    <definedName name="solver_rhs2" localSheetId="0" hidden="1">-0.06</definedName>
    <definedName name="solver_rhs2" localSheetId="1" hidden="1">-0.06</definedName>
    <definedName name="solver_rhs3" localSheetId="0" hidden="1">-0.03</definedName>
    <definedName name="solver_rlx" localSheetId="0" hidden="1">2</definedName>
    <definedName name="solver_rlx" localSheetId="1" hidden="1">2</definedName>
    <definedName name="solver_rsd" localSheetId="0" hidden="1">0</definedName>
    <definedName name="solver_rsd" localSheetId="1" hidden="1">0</definedName>
    <definedName name="solver_scl" localSheetId="0" hidden="1">1</definedName>
    <definedName name="solver_scl" localSheetId="1" hidden="1">1</definedName>
    <definedName name="solver_sho" localSheetId="0" hidden="1">2</definedName>
    <definedName name="solver_sho" localSheetId="1" hidden="1">2</definedName>
    <definedName name="solver_ssz" localSheetId="0" hidden="1">100</definedName>
    <definedName name="solver_ssz" localSheetId="1" hidden="1">100</definedName>
    <definedName name="solver_tim" localSheetId="0" hidden="1">2147483647</definedName>
    <definedName name="solver_tim" localSheetId="1" hidden="1">2147483647</definedName>
    <definedName name="solver_tol" localSheetId="0" hidden="1">0.01</definedName>
    <definedName name="solver_tol" localSheetId="1" hidden="1">0.01</definedName>
    <definedName name="solver_typ" localSheetId="0" hidden="1">2</definedName>
    <definedName name="solver_typ" localSheetId="1" hidden="1">2</definedName>
    <definedName name="solver_val" localSheetId="0" hidden="1">0</definedName>
    <definedName name="solver_val" localSheetId="1" hidden="1">0</definedName>
    <definedName name="solver_ver" localSheetId="0" hidden="1">3</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1" i="2" l="1"/>
  <c r="U106" i="2"/>
  <c r="Q106" i="2"/>
  <c r="N106" i="2"/>
  <c r="M106" i="2"/>
  <c r="K106" i="2"/>
  <c r="J106" i="2"/>
  <c r="G106" i="2"/>
  <c r="F106" i="2"/>
  <c r="E106" i="2"/>
  <c r="U109" i="1"/>
  <c r="Q109" i="1"/>
  <c r="N109" i="1"/>
  <c r="M109" i="1"/>
  <c r="K109" i="1"/>
  <c r="J109" i="1"/>
  <c r="G109" i="1"/>
  <c r="F109" i="1"/>
  <c r="E109" i="1"/>
  <c r="S105" i="2" l="1"/>
  <c r="R105" i="2"/>
  <c r="T105" i="2" s="1"/>
  <c r="G105" i="2"/>
  <c r="G103" i="2"/>
  <c r="G102" i="2"/>
  <c r="E105" i="2"/>
  <c r="T108" i="1"/>
  <c r="S108" i="1"/>
  <c r="R108" i="1"/>
  <c r="G108" i="1"/>
  <c r="E108" i="1"/>
  <c r="S104" i="2" l="1"/>
  <c r="R104" i="2"/>
  <c r="T104" i="2" s="1"/>
  <c r="S103" i="2"/>
  <c r="R103" i="2"/>
  <c r="S102" i="2"/>
  <c r="R102" i="2"/>
  <c r="G104" i="2"/>
  <c r="F102" i="2"/>
  <c r="E104" i="2"/>
  <c r="AN104" i="2" s="1"/>
  <c r="E103" i="2"/>
  <c r="E102" i="2"/>
  <c r="AN102" i="2" s="1"/>
  <c r="AI106" i="2"/>
  <c r="AH106" i="2"/>
  <c r="AG106" i="2"/>
  <c r="AF106" i="2"/>
  <c r="AO106" i="2" s="1"/>
  <c r="AD106" i="2"/>
  <c r="AC106" i="2"/>
  <c r="AN105" i="2"/>
  <c r="Y103" i="2"/>
  <c r="Z103" i="2" s="1"/>
  <c r="AN103" i="2"/>
  <c r="AI102" i="2"/>
  <c r="AG102" i="2"/>
  <c r="AB102" i="2"/>
  <c r="AC102" i="2" s="1"/>
  <c r="AU106" i="2"/>
  <c r="AT106" i="2" s="1"/>
  <c r="AA102" i="2"/>
  <c r="Y107" i="1"/>
  <c r="Y108" i="1" s="1"/>
  <c r="Y106" i="1"/>
  <c r="R107" i="1"/>
  <c r="S107" i="1" s="1"/>
  <c r="T105" i="1"/>
  <c r="S106" i="1"/>
  <c r="T106" i="1" s="1"/>
  <c r="R106" i="1"/>
  <c r="G107" i="1"/>
  <c r="G106" i="1"/>
  <c r="G105" i="1"/>
  <c r="AU109" i="1" s="1"/>
  <c r="AT109" i="1" s="1"/>
  <c r="F105" i="1"/>
  <c r="AA105" i="1" s="1"/>
  <c r="AK105" i="1" s="1"/>
  <c r="E107" i="1"/>
  <c r="AN107" i="1"/>
  <c r="E106" i="1"/>
  <c r="AN106" i="1" s="1"/>
  <c r="Z108" i="1" s="1"/>
  <c r="E105" i="1"/>
  <c r="AN105" i="1" s="1"/>
  <c r="Z105" i="1" s="1"/>
  <c r="AH109" i="1"/>
  <c r="AF109" i="1"/>
  <c r="AI109" i="1"/>
  <c r="AG109" i="1"/>
  <c r="AD109" i="1"/>
  <c r="AC109" i="1"/>
  <c r="AN108" i="1"/>
  <c r="AI105" i="1"/>
  <c r="AG105" i="1"/>
  <c r="AB105" i="1"/>
  <c r="AD105" i="1" s="1"/>
  <c r="Z107" i="1" l="1"/>
  <c r="Z106" i="1"/>
  <c r="Y104" i="2"/>
  <c r="T103" i="2"/>
  <c r="T102" i="2"/>
  <c r="Z102" i="2"/>
  <c r="AS106" i="2" s="1"/>
  <c r="AD102" i="2"/>
  <c r="AK102" i="2" s="1"/>
  <c r="AJ105" i="1"/>
  <c r="Y109" i="1"/>
  <c r="Z109" i="1" s="1"/>
  <c r="AP109" i="1"/>
  <c r="AO109" i="1"/>
  <c r="AC105" i="1"/>
  <c r="AS109" i="1" s="1"/>
  <c r="Y105" i="2" l="1"/>
  <c r="Z104" i="2"/>
  <c r="AJ102" i="2"/>
  <c r="AP106" i="2"/>
  <c r="AA109" i="1"/>
  <c r="AK109" i="1" s="1"/>
  <c r="AM109" i="1" s="1"/>
  <c r="Y106" i="2" l="1"/>
  <c r="Z105" i="2"/>
  <c r="AJ109" i="1"/>
  <c r="AL109" i="1" s="1"/>
  <c r="AR109" i="1"/>
  <c r="AQ109" i="1"/>
  <c r="Q101" i="2"/>
  <c r="N101" i="2"/>
  <c r="K101" i="2"/>
  <c r="G101" i="2"/>
  <c r="Q104" i="1"/>
  <c r="N104" i="1"/>
  <c r="K104" i="1"/>
  <c r="G104" i="1"/>
  <c r="F104" i="1"/>
  <c r="Y99" i="2"/>
  <c r="Z99" i="2" s="1"/>
  <c r="U101" i="2"/>
  <c r="M101" i="2"/>
  <c r="AF101" i="2" s="1"/>
  <c r="J101" i="2"/>
  <c r="AC101" i="2" s="1"/>
  <c r="G100" i="2"/>
  <c r="G99" i="2"/>
  <c r="G98" i="2"/>
  <c r="AU101" i="2" s="1"/>
  <c r="F98" i="2"/>
  <c r="E101" i="2"/>
  <c r="E100" i="2"/>
  <c r="AN100" i="2" s="1"/>
  <c r="E99" i="2"/>
  <c r="AN99" i="2" s="1"/>
  <c r="E98" i="2"/>
  <c r="AH101" i="2"/>
  <c r="AI101" i="2"/>
  <c r="AG101" i="2"/>
  <c r="AD101" i="2"/>
  <c r="AD98" i="2"/>
  <c r="AC98" i="2"/>
  <c r="AA98" i="2"/>
  <c r="AN98" i="2"/>
  <c r="U104" i="1"/>
  <c r="M104" i="1"/>
  <c r="J104" i="1"/>
  <c r="E104" i="1"/>
  <c r="AA106" i="2" l="1"/>
  <c r="AK106" i="2" s="1"/>
  <c r="AM106" i="2" s="1"/>
  <c r="Z106" i="2"/>
  <c r="Z98" i="2"/>
  <c r="AK98" i="2"/>
  <c r="Y100" i="2"/>
  <c r="Z100" i="2" s="1"/>
  <c r="AO101" i="2"/>
  <c r="AI101" i="1"/>
  <c r="AG101" i="1"/>
  <c r="G103" i="1"/>
  <c r="G102" i="1"/>
  <c r="G101" i="1"/>
  <c r="F101" i="1"/>
  <c r="AA101" i="1" s="1"/>
  <c r="E103" i="1"/>
  <c r="AN103" i="1" s="1"/>
  <c r="E102" i="1"/>
  <c r="E101" i="1"/>
  <c r="AH104" i="1"/>
  <c r="AI104" i="1"/>
  <c r="AG104" i="1"/>
  <c r="AF104" i="1"/>
  <c r="AD104" i="1"/>
  <c r="AC104" i="1"/>
  <c r="Y102" i="1"/>
  <c r="Y103" i="1" s="1"/>
  <c r="AN102" i="1"/>
  <c r="AB101" i="1"/>
  <c r="AD101" i="1" s="1"/>
  <c r="Y104" i="1" l="1"/>
  <c r="AT104" i="1"/>
  <c r="AU104" i="1"/>
  <c r="AJ106" i="2"/>
  <c r="AL106" i="2" s="1"/>
  <c r="AR106" i="2"/>
  <c r="AQ106" i="2"/>
  <c r="AJ98" i="2"/>
  <c r="AS101" i="2"/>
  <c r="AP101" i="2"/>
  <c r="Y101" i="2"/>
  <c r="Z101" i="2" s="1"/>
  <c r="AR101" i="2" s="1"/>
  <c r="AO104" i="1"/>
  <c r="AK101" i="1"/>
  <c r="AA104" i="1"/>
  <c r="AK104" i="1" s="1"/>
  <c r="AN101" i="1"/>
  <c r="Z102" i="1" s="1"/>
  <c r="AC101" i="1"/>
  <c r="AI93" i="2"/>
  <c r="AG93" i="2"/>
  <c r="AI89" i="2"/>
  <c r="AG89" i="2"/>
  <c r="AI85" i="2"/>
  <c r="AG85" i="2"/>
  <c r="AI81" i="2"/>
  <c r="AG81" i="2"/>
  <c r="AG77" i="2"/>
  <c r="AG81" i="1"/>
  <c r="Q97" i="2"/>
  <c r="N97" i="2"/>
  <c r="AG97" i="2" s="1"/>
  <c r="M97" i="2"/>
  <c r="AF97" i="2" s="1"/>
  <c r="K97" i="2"/>
  <c r="AD97" i="2" s="1"/>
  <c r="J97" i="2"/>
  <c r="AC97" i="2" s="1"/>
  <c r="G97" i="2"/>
  <c r="G96" i="2"/>
  <c r="G95" i="2"/>
  <c r="G94" i="2"/>
  <c r="G93" i="2"/>
  <c r="F97" i="2"/>
  <c r="F93" i="2"/>
  <c r="AA93" i="2" s="1"/>
  <c r="AK93" i="2" s="1"/>
  <c r="E97" i="2"/>
  <c r="E96" i="2"/>
  <c r="AN96" i="2" s="1"/>
  <c r="E95" i="2"/>
  <c r="AN95" i="2" s="1"/>
  <c r="E94" i="2"/>
  <c r="AN94" i="2" s="1"/>
  <c r="E93" i="2"/>
  <c r="AN93" i="2" s="1"/>
  <c r="AH97" i="2"/>
  <c r="AI97" i="2"/>
  <c r="Y94" i="2"/>
  <c r="Y95" i="2" s="1"/>
  <c r="Y96" i="2" s="1"/>
  <c r="AD93" i="2"/>
  <c r="AC93" i="2"/>
  <c r="AI97" i="1"/>
  <c r="Q100" i="1"/>
  <c r="AG97" i="1"/>
  <c r="N100" i="1"/>
  <c r="G99" i="1"/>
  <c r="Z103" i="1" l="1"/>
  <c r="Z104" i="1"/>
  <c r="Z95" i="2"/>
  <c r="Z93" i="2"/>
  <c r="AA101" i="2"/>
  <c r="AK101" i="2" s="1"/>
  <c r="AM101" i="2" s="1"/>
  <c r="AM104" i="1"/>
  <c r="AJ104" i="1"/>
  <c r="Z101" i="1"/>
  <c r="AR104" i="1" s="1"/>
  <c r="Z96" i="2"/>
  <c r="Z94" i="2"/>
  <c r="AO97" i="2"/>
  <c r="Y97" i="2"/>
  <c r="Z97" i="2" s="1"/>
  <c r="M100" i="1"/>
  <c r="AJ93" i="2" l="1"/>
  <c r="AR97" i="2"/>
  <c r="AP97" i="2"/>
  <c r="AS97" i="2"/>
  <c r="AQ101" i="2"/>
  <c r="AJ101" i="2"/>
  <c r="AL101" i="2" s="1"/>
  <c r="AQ104" i="1"/>
  <c r="AJ101" i="1"/>
  <c r="AL104" i="1" s="1"/>
  <c r="AP104" i="1"/>
  <c r="AS104" i="1"/>
  <c r="AA97" i="2"/>
  <c r="AK97" i="2" s="1"/>
  <c r="AM97" i="2" s="1"/>
  <c r="K100" i="1"/>
  <c r="AD100" i="1" s="1"/>
  <c r="J100" i="1"/>
  <c r="AC100" i="1" s="1"/>
  <c r="G100" i="1"/>
  <c r="G98" i="1"/>
  <c r="G97" i="1"/>
  <c r="F100" i="1"/>
  <c r="F97" i="1"/>
  <c r="E100" i="1"/>
  <c r="E99" i="1"/>
  <c r="AN99" i="1" s="1"/>
  <c r="E98" i="1"/>
  <c r="AN98" i="1" s="1"/>
  <c r="E97" i="1"/>
  <c r="AN97" i="1" s="1"/>
  <c r="Z97" i="1" s="1"/>
  <c r="AI100" i="1"/>
  <c r="AH100" i="1"/>
  <c r="AG100" i="1"/>
  <c r="AF100" i="1"/>
  <c r="Y98" i="1"/>
  <c r="AB97" i="1"/>
  <c r="AC97" i="1" s="1"/>
  <c r="AA97" i="1"/>
  <c r="AD97" i="1" l="1"/>
  <c r="AK97" i="1" s="1"/>
  <c r="Y99" i="1"/>
  <c r="Z99" i="1" s="1"/>
  <c r="Z98" i="1"/>
  <c r="AJ97" i="2"/>
  <c r="AL97" i="2" s="1"/>
  <c r="AQ97" i="2"/>
  <c r="AJ97" i="1"/>
  <c r="AS100" i="1"/>
  <c r="AP100" i="1"/>
  <c r="AO100" i="1"/>
  <c r="AI93" i="1"/>
  <c r="AG93" i="1"/>
  <c r="AI89" i="1"/>
  <c r="AG89" i="1"/>
  <c r="AI85" i="1"/>
  <c r="AG85" i="1"/>
  <c r="AD89" i="2"/>
  <c r="AC85" i="2"/>
  <c r="Y100" i="1" l="1"/>
  <c r="Z100" i="1" s="1"/>
  <c r="AR100" i="1" s="1"/>
  <c r="AA100" i="1"/>
  <c r="AK100" i="1" s="1"/>
  <c r="AM100" i="1" s="1"/>
  <c r="AA77" i="2"/>
  <c r="AD84" i="1"/>
  <c r="AD81" i="1"/>
  <c r="AC84" i="1"/>
  <c r="AC81" i="1"/>
  <c r="AA81" i="1"/>
  <c r="AD76" i="2"/>
  <c r="AD75" i="2"/>
  <c r="AC76" i="2"/>
  <c r="AC75" i="2"/>
  <c r="AD80" i="1"/>
  <c r="AD79" i="1"/>
  <c r="AC80" i="1"/>
  <c r="AC79" i="1"/>
  <c r="AD70" i="2"/>
  <c r="AC70" i="2"/>
  <c r="AD78" i="1"/>
  <c r="AD74" i="1"/>
  <c r="AC78" i="1"/>
  <c r="AC74" i="1"/>
  <c r="AD69" i="2"/>
  <c r="AD66" i="2"/>
  <c r="AC69" i="2"/>
  <c r="AC66" i="2"/>
  <c r="AD73" i="1"/>
  <c r="AD70" i="1"/>
  <c r="AC73" i="1"/>
  <c r="AC70" i="1"/>
  <c r="AD65" i="2"/>
  <c r="AD62" i="2"/>
  <c r="AC62" i="2"/>
  <c r="AD69" i="1"/>
  <c r="AD66" i="1"/>
  <c r="AC66" i="1"/>
  <c r="AD58" i="2"/>
  <c r="AC58" i="2"/>
  <c r="AD65" i="1"/>
  <c r="AD62" i="1"/>
  <c r="AC65" i="1"/>
  <c r="AC62" i="1"/>
  <c r="AD54" i="2"/>
  <c r="AC54" i="2"/>
  <c r="AD53" i="2"/>
  <c r="AD50" i="2"/>
  <c r="AC53" i="2"/>
  <c r="AC50" i="2"/>
  <c r="T1" i="1"/>
  <c r="AD57" i="1"/>
  <c r="AD54" i="1"/>
  <c r="AC57" i="1"/>
  <c r="AC54" i="1"/>
  <c r="AD49" i="2"/>
  <c r="AD46" i="2"/>
  <c r="AD45" i="2"/>
  <c r="AC49" i="2"/>
  <c r="AC46" i="2"/>
  <c r="AJ100" i="1" l="1"/>
  <c r="AL100" i="1" s="1"/>
  <c r="AQ100" i="1"/>
  <c r="T2" i="1"/>
  <c r="AD53" i="1" l="1"/>
  <c r="AD50" i="1"/>
  <c r="AC50" i="1"/>
  <c r="AD41" i="2" l="1"/>
  <c r="AC45" i="2"/>
  <c r="AC41" i="2"/>
  <c r="AD49" i="1" l="1"/>
  <c r="AD45" i="1"/>
  <c r="AC49" i="1"/>
  <c r="AC45" i="1"/>
  <c r="AD40" i="2" l="1"/>
  <c r="AD38" i="2"/>
  <c r="AC40" i="2"/>
  <c r="AC38" i="2"/>
  <c r="AD40" i="1"/>
  <c r="AC40" i="1"/>
  <c r="Q92" i="2" l="1"/>
  <c r="N92" i="2"/>
  <c r="M92" i="2"/>
  <c r="K92" i="2"/>
  <c r="AD92" i="2" s="1"/>
  <c r="J92" i="2"/>
  <c r="G92" i="2"/>
  <c r="F92" i="2"/>
  <c r="E92" i="2"/>
  <c r="Q96" i="1"/>
  <c r="N96" i="1"/>
  <c r="M96" i="1"/>
  <c r="J96" i="1"/>
  <c r="K96" i="1"/>
  <c r="AD96" i="1" s="1"/>
  <c r="G96" i="1"/>
  <c r="F96" i="1"/>
  <c r="E96" i="1"/>
  <c r="G91" i="2"/>
  <c r="E91" i="2"/>
  <c r="G95" i="1"/>
  <c r="E95" i="1"/>
  <c r="O56" i="5" l="1"/>
  <c r="N56" i="5"/>
  <c r="O49" i="5"/>
  <c r="N49" i="5"/>
  <c r="O33" i="5"/>
  <c r="O26" i="5"/>
  <c r="N26" i="5"/>
  <c r="N33" i="5"/>
  <c r="O57" i="5" l="1"/>
  <c r="O34" i="5"/>
  <c r="N34" i="5"/>
  <c r="N57" i="5"/>
  <c r="G90" i="2"/>
  <c r="G89" i="2"/>
  <c r="F89" i="2"/>
  <c r="AA89" i="2" s="1"/>
  <c r="AK89" i="2" s="1"/>
  <c r="E90" i="2"/>
  <c r="E89" i="2"/>
  <c r="AI92" i="2"/>
  <c r="AH92" i="2"/>
  <c r="AG92" i="2"/>
  <c r="AF92" i="2"/>
  <c r="AC92" i="2"/>
  <c r="AN91" i="2"/>
  <c r="Y90" i="2"/>
  <c r="AC89" i="2"/>
  <c r="G94" i="1"/>
  <c r="G93" i="1"/>
  <c r="F93" i="1"/>
  <c r="AA93" i="1" s="1"/>
  <c r="E94" i="1"/>
  <c r="E93" i="1"/>
  <c r="AI96" i="1"/>
  <c r="AH96" i="1"/>
  <c r="AG96" i="1"/>
  <c r="AF96" i="1"/>
  <c r="AC96" i="1"/>
  <c r="AN95" i="1"/>
  <c r="Y94" i="1"/>
  <c r="AB93" i="1"/>
  <c r="AD93" i="1" s="1"/>
  <c r="Y91" i="2" l="1"/>
  <c r="AN89" i="2"/>
  <c r="Z89" i="2" s="1"/>
  <c r="AN93" i="1"/>
  <c r="Y95" i="1"/>
  <c r="Z95" i="1" s="1"/>
  <c r="AK93" i="1"/>
  <c r="AC93" i="1"/>
  <c r="AN90" i="2"/>
  <c r="Y92" i="2"/>
  <c r="AO92" i="2"/>
  <c r="AN94" i="1"/>
  <c r="AO96" i="1"/>
  <c r="Z94" i="1" l="1"/>
  <c r="AJ89" i="2"/>
  <c r="AS92" i="2"/>
  <c r="AA92" i="2"/>
  <c r="AK92" i="2" s="1"/>
  <c r="AM92" i="2" s="1"/>
  <c r="Z92" i="2"/>
  <c r="AR92" i="2" s="1"/>
  <c r="Z90" i="2"/>
  <c r="Z91" i="2"/>
  <c r="Y96" i="1"/>
  <c r="Z93" i="1"/>
  <c r="AP92" i="2"/>
  <c r="AP96" i="1" l="1"/>
  <c r="AA96" i="1"/>
  <c r="AK96" i="1" s="1"/>
  <c r="AM96" i="1" s="1"/>
  <c r="Z96" i="1"/>
  <c r="AJ96" i="1" s="1"/>
  <c r="AJ93" i="1"/>
  <c r="AS96" i="1"/>
  <c r="AJ92" i="2"/>
  <c r="AL92" i="2" s="1"/>
  <c r="AQ92" i="2"/>
  <c r="AR96" i="1" l="1"/>
  <c r="AL96" i="1"/>
  <c r="AQ96" i="1"/>
  <c r="AD85" i="2" l="1"/>
  <c r="Q88" i="2"/>
  <c r="N88" i="2"/>
  <c r="M88" i="2"/>
  <c r="K88" i="2"/>
  <c r="J88" i="2"/>
  <c r="AC88" i="2" s="1"/>
  <c r="G88" i="2"/>
  <c r="G87" i="2"/>
  <c r="G86" i="2"/>
  <c r="G85" i="2"/>
  <c r="F88" i="2"/>
  <c r="E88" i="2"/>
  <c r="E87" i="2"/>
  <c r="Q92" i="1"/>
  <c r="K92" i="1"/>
  <c r="AD92" i="1" s="1"/>
  <c r="F92" i="1"/>
  <c r="N92" i="1"/>
  <c r="M92" i="1"/>
  <c r="J92" i="1"/>
  <c r="G92" i="1"/>
  <c r="G91" i="1"/>
  <c r="E92" i="1"/>
  <c r="E91" i="1"/>
  <c r="G90" i="1"/>
  <c r="G89" i="1"/>
  <c r="F85" i="2" l="1"/>
  <c r="E86" i="2"/>
  <c r="AN86" i="2" s="1"/>
  <c r="E85" i="2"/>
  <c r="AI88" i="2"/>
  <c r="AH88" i="2"/>
  <c r="AG88" i="2"/>
  <c r="AF88" i="2"/>
  <c r="AD88" i="2"/>
  <c r="AN87" i="2"/>
  <c r="Y86" i="2"/>
  <c r="F89" i="1"/>
  <c r="AA89" i="1" s="1"/>
  <c r="E90" i="1"/>
  <c r="E89" i="1"/>
  <c r="AI92" i="1"/>
  <c r="AH92" i="1"/>
  <c r="AC92" i="1"/>
  <c r="AG92" i="1"/>
  <c r="AF92" i="1"/>
  <c r="AN91" i="1"/>
  <c r="Y90" i="1"/>
  <c r="AB89" i="1"/>
  <c r="AD89" i="1" s="1"/>
  <c r="Y87" i="2" l="1"/>
  <c r="Z86" i="2"/>
  <c r="AN85" i="2"/>
  <c r="Z85" i="2" s="1"/>
  <c r="AA85" i="2"/>
  <c r="AK85" i="2" s="1"/>
  <c r="Y91" i="1"/>
  <c r="AK89" i="1"/>
  <c r="AC89" i="1"/>
  <c r="AO88" i="2"/>
  <c r="AN90" i="1"/>
  <c r="AO92" i="1"/>
  <c r="AN89" i="1"/>
  <c r="Z90" i="1" s="1"/>
  <c r="AH84" i="2"/>
  <c r="Z87" i="2" l="1"/>
  <c r="Z89" i="1"/>
  <c r="AJ85" i="2"/>
  <c r="AS88" i="2"/>
  <c r="Y88" i="2"/>
  <c r="AJ89" i="1"/>
  <c r="Y92" i="1"/>
  <c r="Z91" i="1"/>
  <c r="AP88" i="2"/>
  <c r="AP92" i="1" l="1"/>
  <c r="AS92" i="1"/>
  <c r="Z88" i="2"/>
  <c r="AA88" i="2"/>
  <c r="AK88" i="2" s="1"/>
  <c r="AM88" i="2" s="1"/>
  <c r="AA92" i="1"/>
  <c r="AK92" i="1" s="1"/>
  <c r="AM92" i="1" s="1"/>
  <c r="Z92" i="1"/>
  <c r="AR92" i="1" s="1"/>
  <c r="AQ88" i="2"/>
  <c r="Q84" i="2"/>
  <c r="AI84" i="2" s="1"/>
  <c r="G84" i="2"/>
  <c r="G83" i="2"/>
  <c r="G82" i="2"/>
  <c r="G81" i="2"/>
  <c r="Q88" i="1"/>
  <c r="AI88" i="1" s="1"/>
  <c r="G88" i="1"/>
  <c r="G87" i="1"/>
  <c r="G86" i="1"/>
  <c r="G85" i="1"/>
  <c r="K88" i="1"/>
  <c r="AD88" i="1" s="1"/>
  <c r="F88" i="1"/>
  <c r="AH88" i="1"/>
  <c r="M84" i="2"/>
  <c r="AF84" i="2" s="1"/>
  <c r="AO84" i="2" s="1"/>
  <c r="K84" i="2"/>
  <c r="AD84" i="2" s="1"/>
  <c r="F84" i="2"/>
  <c r="N84" i="2"/>
  <c r="AG84" i="2" s="1"/>
  <c r="F81" i="2"/>
  <c r="E81" i="2"/>
  <c r="AC84" i="2"/>
  <c r="AN83" i="2"/>
  <c r="AN82" i="2"/>
  <c r="Y82" i="2"/>
  <c r="N84" i="1"/>
  <c r="M88" i="1"/>
  <c r="AF88" i="1" s="1"/>
  <c r="N88" i="1"/>
  <c r="AG88" i="1" s="1"/>
  <c r="F85" i="1"/>
  <c r="E85" i="1"/>
  <c r="AC88" i="1"/>
  <c r="AN87" i="1"/>
  <c r="AN86" i="1"/>
  <c r="Y86" i="1"/>
  <c r="AB85" i="1"/>
  <c r="AJ88" i="2" l="1"/>
  <c r="AL88" i="2" s="1"/>
  <c r="AR88" i="2"/>
  <c r="AJ92" i="1"/>
  <c r="AL92" i="1" s="1"/>
  <c r="AQ92" i="1"/>
  <c r="AA81" i="2"/>
  <c r="AK81" i="2" s="1"/>
  <c r="Y87" i="1"/>
  <c r="Y88" i="1" s="1"/>
  <c r="AA85" i="1"/>
  <c r="AK85" i="1" s="1"/>
  <c r="AN81" i="2"/>
  <c r="Z81" i="2" s="1"/>
  <c r="AU88" i="1"/>
  <c r="AT88" i="1" s="1"/>
  <c r="AU84" i="2"/>
  <c r="AT84" i="2" s="1"/>
  <c r="AO88" i="1"/>
  <c r="AN85" i="1"/>
  <c r="Z86" i="1" s="1"/>
  <c r="Y83" i="2"/>
  <c r="AG84" i="1"/>
  <c r="AF84" i="1"/>
  <c r="AB81" i="1"/>
  <c r="AK81" i="1"/>
  <c r="Y82" i="1"/>
  <c r="AJ81" i="2" l="1"/>
  <c r="Z83" i="2"/>
  <c r="Z87" i="1"/>
  <c r="AS84" i="2"/>
  <c r="Z82" i="2"/>
  <c r="Z85" i="1"/>
  <c r="Z88" i="1"/>
  <c r="AJ88" i="1" s="1"/>
  <c r="AA88" i="1"/>
  <c r="AK88" i="1" s="1"/>
  <c r="AM88" i="1" s="1"/>
  <c r="Y83" i="1"/>
  <c r="Y84" i="1" s="1"/>
  <c r="Y84" i="2"/>
  <c r="AP84" i="2"/>
  <c r="AO84" i="1"/>
  <c r="AR88" i="1" l="1"/>
  <c r="AS88" i="1"/>
  <c r="AJ85" i="1"/>
  <c r="AL88" i="1" s="1"/>
  <c r="AP88" i="1"/>
  <c r="Z84" i="2"/>
  <c r="AA84" i="2"/>
  <c r="AK84" i="2" s="1"/>
  <c r="AM84" i="2" s="1"/>
  <c r="AA84" i="1"/>
  <c r="AK84" i="1" s="1"/>
  <c r="AM84" i="1" s="1"/>
  <c r="AQ88" i="1"/>
  <c r="AJ84" i="2" l="1"/>
  <c r="AR84" i="2"/>
  <c r="AQ84" i="2"/>
  <c r="AL84" i="2"/>
  <c r="AG80" i="2" l="1"/>
  <c r="AF80" i="2"/>
  <c r="AD80" i="2"/>
  <c r="AC80" i="2"/>
  <c r="AK77" i="2"/>
  <c r="Y78" i="2"/>
  <c r="Y79" i="2" l="1"/>
  <c r="Y80" i="2"/>
  <c r="AO80" i="2"/>
  <c r="G80" i="2"/>
  <c r="G79" i="2"/>
  <c r="G78" i="2"/>
  <c r="G77" i="2"/>
  <c r="AN79" i="2"/>
  <c r="AN78" i="2"/>
  <c r="AN77" i="2"/>
  <c r="Z77" i="2" s="1"/>
  <c r="AJ77" i="2" s="1"/>
  <c r="G83" i="1"/>
  <c r="G82" i="1"/>
  <c r="G81" i="1"/>
  <c r="AN83" i="1"/>
  <c r="AN82" i="1"/>
  <c r="AN81" i="1"/>
  <c r="AA80" i="2" l="1"/>
  <c r="Z80" i="2"/>
  <c r="Z78" i="2"/>
  <c r="Z81" i="1"/>
  <c r="Z82" i="1"/>
  <c r="Z83" i="1"/>
  <c r="Z84" i="1"/>
  <c r="AJ84" i="1" s="1"/>
  <c r="Z79" i="2"/>
  <c r="AP80" i="2"/>
  <c r="AS80" i="2"/>
  <c r="AK80" i="2"/>
  <c r="AM80" i="2" s="1"/>
  <c r="AU92" i="1"/>
  <c r="AT92" i="1" s="1"/>
  <c r="AN41" i="1"/>
  <c r="AN42" i="1"/>
  <c r="AN43" i="1"/>
  <c r="AN45" i="1"/>
  <c r="AN46" i="1"/>
  <c r="AN47" i="1"/>
  <c r="AN50" i="1"/>
  <c r="AN51" i="1"/>
  <c r="AN52" i="1"/>
  <c r="AN54" i="1"/>
  <c r="AN55" i="1"/>
  <c r="AN56" i="1"/>
  <c r="AN62" i="1"/>
  <c r="AN63" i="1"/>
  <c r="AN64" i="1"/>
  <c r="AN70" i="1"/>
  <c r="AN71" i="1"/>
  <c r="AN72" i="1"/>
  <c r="AN74" i="1"/>
  <c r="AN75" i="1"/>
  <c r="AN76" i="1"/>
  <c r="AN77" i="1"/>
  <c r="AN79" i="1"/>
  <c r="AN40" i="1"/>
  <c r="AN39" i="1"/>
  <c r="AN38" i="1"/>
  <c r="AN41" i="2"/>
  <c r="AN42" i="2"/>
  <c r="AN43" i="2"/>
  <c r="AN46" i="2"/>
  <c r="AN47" i="2"/>
  <c r="AN48" i="2"/>
  <c r="AN50" i="2"/>
  <c r="Z50" i="2" s="1"/>
  <c r="AN51" i="2"/>
  <c r="AN52" i="2"/>
  <c r="AN54" i="2"/>
  <c r="Z54" i="2" s="1"/>
  <c r="AN55" i="2"/>
  <c r="AN56" i="2"/>
  <c r="AN58" i="2"/>
  <c r="Z58" i="2" s="1"/>
  <c r="AN59" i="2"/>
  <c r="AN60" i="2"/>
  <c r="AN66" i="2"/>
  <c r="Z66" i="2" s="1"/>
  <c r="AN67" i="2"/>
  <c r="AN68" i="2"/>
  <c r="AN70" i="2"/>
  <c r="Z70" i="2" s="1"/>
  <c r="AN71" i="2"/>
  <c r="AN72" i="2"/>
  <c r="AN73" i="2"/>
  <c r="AN75" i="2"/>
  <c r="Z75" i="2" s="1"/>
  <c r="AI57" i="2"/>
  <c r="AB44" i="1"/>
  <c r="Y79" i="1"/>
  <c r="Y74" i="1"/>
  <c r="Y70" i="1"/>
  <c r="Y66" i="1"/>
  <c r="Y62" i="1"/>
  <c r="Y54" i="1"/>
  <c r="Y50" i="1"/>
  <c r="Y45" i="1"/>
  <c r="Y40" i="1"/>
  <c r="AR84" i="1" l="1"/>
  <c r="AJ81" i="1"/>
  <c r="AP84" i="1"/>
  <c r="AS84" i="1"/>
  <c r="AQ84" i="1"/>
  <c r="AL84" i="1"/>
  <c r="Y80" i="1"/>
  <c r="Z79" i="1"/>
  <c r="Y71" i="1"/>
  <c r="Z71" i="1" s="1"/>
  <c r="Z70" i="1"/>
  <c r="Y75" i="1"/>
  <c r="Z74" i="1"/>
  <c r="Z40" i="1"/>
  <c r="Y46" i="1"/>
  <c r="Y47" i="1" s="1"/>
  <c r="Y48" i="1" s="1"/>
  <c r="Y49" i="1" s="1"/>
  <c r="AA49" i="1" s="1"/>
  <c r="Y55" i="1"/>
  <c r="Z54" i="1"/>
  <c r="Y67" i="1"/>
  <c r="AC44" i="1"/>
  <c r="AD44" i="1"/>
  <c r="Y41" i="1"/>
  <c r="Z41" i="1" s="1"/>
  <c r="Y51" i="1"/>
  <c r="Y52" i="1" s="1"/>
  <c r="Y53" i="1" s="1"/>
  <c r="AA53" i="1" s="1"/>
  <c r="Y63" i="1"/>
  <c r="Z62" i="1"/>
  <c r="Z41" i="2"/>
  <c r="Z46" i="2"/>
  <c r="Z50" i="1"/>
  <c r="Z45" i="1"/>
  <c r="AU84" i="1"/>
  <c r="AT84" i="1" s="1"/>
  <c r="AJ80" i="2"/>
  <c r="AL80" i="2" s="1"/>
  <c r="AR80" i="2"/>
  <c r="AQ80" i="2"/>
  <c r="Y72" i="1"/>
  <c r="Z72" i="1" s="1"/>
  <c r="T1" i="2"/>
  <c r="AN39" i="2"/>
  <c r="AN38" i="2"/>
  <c r="Z38" i="2" s="1"/>
  <c r="Z51" i="1" l="1"/>
  <c r="Z80" i="1"/>
  <c r="Y76" i="1"/>
  <c r="Z75" i="1"/>
  <c r="Y42" i="1"/>
  <c r="Y43" i="1" s="1"/>
  <c r="Y64" i="1"/>
  <c r="Z63" i="1"/>
  <c r="Y56" i="1"/>
  <c r="Z55" i="1"/>
  <c r="Z47" i="1"/>
  <c r="Z46" i="1"/>
  <c r="Z53" i="1"/>
  <c r="Z52" i="1"/>
  <c r="Y68" i="1"/>
  <c r="AU80" i="2"/>
  <c r="AT80" i="2" s="1"/>
  <c r="AU88" i="2"/>
  <c r="AT88" i="2" s="1"/>
  <c r="Y73" i="1"/>
  <c r="AH40" i="2"/>
  <c r="AF40" i="2"/>
  <c r="AB74" i="2"/>
  <c r="AB61" i="2"/>
  <c r="AB57" i="2"/>
  <c r="Y76" i="2"/>
  <c r="Y71" i="2"/>
  <c r="Y67" i="2"/>
  <c r="Y63" i="2"/>
  <c r="Y59" i="2"/>
  <c r="Y55" i="2"/>
  <c r="Y51" i="2"/>
  <c r="Y47" i="2"/>
  <c r="Y42" i="2"/>
  <c r="Y39" i="2"/>
  <c r="Y40" i="2" s="1"/>
  <c r="Z42" i="1" l="1"/>
  <c r="Y72" i="2"/>
  <c r="Z71" i="2"/>
  <c r="Y68" i="2"/>
  <c r="Z67" i="2"/>
  <c r="Z73" i="1"/>
  <c r="AQ73" i="1" s="1"/>
  <c r="Y77" i="1"/>
  <c r="Z76" i="1"/>
  <c r="AD74" i="2"/>
  <c r="AC74" i="2"/>
  <c r="Z76" i="2"/>
  <c r="Y65" i="1"/>
  <c r="Z64" i="1"/>
  <c r="Y69" i="1"/>
  <c r="Y57" i="1"/>
  <c r="Z56" i="1"/>
  <c r="Y48" i="2"/>
  <c r="Z47" i="2"/>
  <c r="Y43" i="2"/>
  <c r="Z42" i="2"/>
  <c r="Y52" i="2"/>
  <c r="Z51" i="2"/>
  <c r="Y60" i="2"/>
  <c r="Z59" i="2"/>
  <c r="AD61" i="2"/>
  <c r="AO40" i="2"/>
  <c r="AS40" i="2"/>
  <c r="Y56" i="2"/>
  <c r="Z55" i="2"/>
  <c r="Y64" i="2"/>
  <c r="AD57" i="2"/>
  <c r="AC57" i="2"/>
  <c r="Z40" i="2"/>
  <c r="Z39" i="2"/>
  <c r="Y44" i="1"/>
  <c r="Z43" i="1"/>
  <c r="N76" i="2"/>
  <c r="AG76" i="2" s="1"/>
  <c r="G76" i="2"/>
  <c r="G75" i="2"/>
  <c r="F75" i="2"/>
  <c r="AA75" i="2" s="1"/>
  <c r="AF76" i="2"/>
  <c r="N80" i="1"/>
  <c r="AG80" i="1" s="1"/>
  <c r="G80" i="1"/>
  <c r="G79" i="1"/>
  <c r="F79" i="1"/>
  <c r="AF80" i="1"/>
  <c r="AG79" i="1"/>
  <c r="AF79" i="1"/>
  <c r="T2" i="2"/>
  <c r="AA79" i="1" l="1"/>
  <c r="AA80" i="1"/>
  <c r="AO80" i="1"/>
  <c r="AS80" i="1"/>
  <c r="AA76" i="2"/>
  <c r="AO76" i="2"/>
  <c r="AS76" i="2"/>
  <c r="Y78" i="1"/>
  <c r="Z77" i="1"/>
  <c r="Y69" i="2"/>
  <c r="Z68" i="2"/>
  <c r="Y73" i="2"/>
  <c r="Z72" i="2"/>
  <c r="Z57" i="1"/>
  <c r="Z65" i="1"/>
  <c r="Y65" i="2"/>
  <c r="Y57" i="2"/>
  <c r="Z56" i="2"/>
  <c r="Y61" i="2"/>
  <c r="Z60" i="2"/>
  <c r="Y53" i="2"/>
  <c r="Z52" i="2"/>
  <c r="Y44" i="2"/>
  <c r="Y45" i="2" s="1"/>
  <c r="Z43" i="2"/>
  <c r="Y49" i="2"/>
  <c r="Z48" i="2"/>
  <c r="Z44" i="1"/>
  <c r="AQ44" i="1" s="1"/>
  <c r="AQ76" i="2"/>
  <c r="AQ80" i="1"/>
  <c r="AP80" i="1"/>
  <c r="AK76" i="2"/>
  <c r="AP76" i="2"/>
  <c r="AK75" i="2"/>
  <c r="AJ76" i="2"/>
  <c r="AR76" i="2"/>
  <c r="AJ75" i="2"/>
  <c r="AK79" i="1"/>
  <c r="AJ79" i="1"/>
  <c r="AJ80" i="1"/>
  <c r="AK80" i="1"/>
  <c r="AR80" i="1"/>
  <c r="N74" i="2"/>
  <c r="AG74" i="2" s="1"/>
  <c r="G74" i="2"/>
  <c r="G73" i="2"/>
  <c r="G72" i="2"/>
  <c r="G71" i="2"/>
  <c r="G70" i="2"/>
  <c r="F70" i="2"/>
  <c r="AA70" i="2" s="1"/>
  <c r="T3" i="2"/>
  <c r="AF74" i="2"/>
  <c r="AO74" i="2" s="1"/>
  <c r="T3" i="1"/>
  <c r="N78" i="1"/>
  <c r="AG78" i="1" s="1"/>
  <c r="G78" i="1"/>
  <c r="G77" i="1"/>
  <c r="G76" i="1"/>
  <c r="G75" i="1"/>
  <c r="G74" i="1"/>
  <c r="F74" i="1"/>
  <c r="AA74" i="1" s="1"/>
  <c r="AF78" i="1"/>
  <c r="AG74" i="1"/>
  <c r="AF74" i="1"/>
  <c r="N69" i="2"/>
  <c r="AG69" i="2" s="1"/>
  <c r="G69" i="2"/>
  <c r="AU69" i="2" s="1"/>
  <c r="AT69" i="2" s="1"/>
  <c r="G68" i="2"/>
  <c r="G67" i="2"/>
  <c r="F66" i="2"/>
  <c r="AA66" i="2" s="1"/>
  <c r="AI69" i="2"/>
  <c r="AH69" i="2"/>
  <c r="AF69" i="2"/>
  <c r="AS69" i="2" s="1"/>
  <c r="N73" i="1"/>
  <c r="AG73" i="1" s="1"/>
  <c r="G73" i="1"/>
  <c r="G72" i="1"/>
  <c r="G71" i="1"/>
  <c r="G70" i="1"/>
  <c r="F70" i="1"/>
  <c r="AF73" i="1"/>
  <c r="AH70" i="1"/>
  <c r="AG70" i="1"/>
  <c r="AF70" i="1"/>
  <c r="AU80" i="1" l="1"/>
  <c r="AT80" i="1" s="1"/>
  <c r="AU100" i="1"/>
  <c r="AT100" i="1" s="1"/>
  <c r="AU92" i="2"/>
  <c r="AT92" i="2" s="1"/>
  <c r="AT101" i="2"/>
  <c r="AU97" i="2"/>
  <c r="AT97" i="2" s="1"/>
  <c r="AL76" i="2"/>
  <c r="AA70" i="1"/>
  <c r="AA73" i="1"/>
  <c r="AO78" i="1"/>
  <c r="AS78" i="1"/>
  <c r="AM76" i="2"/>
  <c r="AA78" i="1"/>
  <c r="Z78" i="1"/>
  <c r="AJ78" i="1" s="1"/>
  <c r="Y74" i="2"/>
  <c r="Z73" i="2"/>
  <c r="AU76" i="2"/>
  <c r="AT76" i="2" s="1"/>
  <c r="Z69" i="2"/>
  <c r="AR69" i="2" s="1"/>
  <c r="AA69" i="2"/>
  <c r="AO73" i="1"/>
  <c r="AS73" i="1"/>
  <c r="AM80" i="1"/>
  <c r="AS74" i="2"/>
  <c r="Z49" i="2"/>
  <c r="Z53" i="2"/>
  <c r="Z61" i="2"/>
  <c r="Z57" i="2"/>
  <c r="U5" i="1"/>
  <c r="AU96" i="1"/>
  <c r="AT96" i="1" s="1"/>
  <c r="AQ78" i="1"/>
  <c r="AO69" i="2"/>
  <c r="AU74" i="2"/>
  <c r="AT74" i="2" s="1"/>
  <c r="AP78" i="1"/>
  <c r="AJ74" i="1"/>
  <c r="AK74" i="1"/>
  <c r="AJ70" i="2"/>
  <c r="AK70" i="2"/>
  <c r="AJ73" i="1"/>
  <c r="AU78" i="1"/>
  <c r="AT78" i="1" s="1"/>
  <c r="AP74" i="2"/>
  <c r="AK73" i="1"/>
  <c r="AK78" i="1"/>
  <c r="AM78" i="1" s="1"/>
  <c r="AP73" i="1"/>
  <c r="AK66" i="2"/>
  <c r="AL80" i="1"/>
  <c r="AR78" i="1"/>
  <c r="AK69" i="2"/>
  <c r="AJ66" i="2"/>
  <c r="AP69" i="2"/>
  <c r="AK70" i="1"/>
  <c r="AJ70" i="1"/>
  <c r="AR73" i="1"/>
  <c r="N65" i="2"/>
  <c r="N69" i="1"/>
  <c r="AJ69" i="2" l="1"/>
  <c r="AM69" i="2" s="1"/>
  <c r="AQ69" i="2"/>
  <c r="AM73" i="1"/>
  <c r="Z74" i="2"/>
  <c r="AA74" i="2"/>
  <c r="AK74" i="2" s="1"/>
  <c r="AM74" i="2" s="1"/>
  <c r="AL69" i="2"/>
  <c r="AL78" i="1"/>
  <c r="AL73" i="1"/>
  <c r="E65" i="2"/>
  <c r="J65" i="2"/>
  <c r="AC65" i="2" s="1"/>
  <c r="M65" i="2"/>
  <c r="G65" i="2"/>
  <c r="M69" i="1"/>
  <c r="J69" i="1"/>
  <c r="AC69" i="1" s="1"/>
  <c r="G69" i="1"/>
  <c r="E69" i="1"/>
  <c r="AR74" i="2" l="1"/>
  <c r="AJ74" i="2"/>
  <c r="AL74" i="2" s="1"/>
  <c r="AQ74" i="2"/>
  <c r="B65" i="2"/>
  <c r="B64" i="2"/>
  <c r="B69" i="1"/>
  <c r="B68" i="1"/>
  <c r="B60" i="2"/>
  <c r="B64" i="1" l="1"/>
  <c r="G64" i="2"/>
  <c r="E64" i="2"/>
  <c r="J63" i="2"/>
  <c r="G63" i="2"/>
  <c r="E63" i="2"/>
  <c r="G62" i="2"/>
  <c r="E62" i="2"/>
  <c r="F62" i="2"/>
  <c r="AI65" i="2"/>
  <c r="AH65" i="2"/>
  <c r="AG65" i="2"/>
  <c r="AF65" i="2"/>
  <c r="G68" i="1"/>
  <c r="E68" i="1"/>
  <c r="J67" i="1"/>
  <c r="E66" i="1"/>
  <c r="G67" i="1"/>
  <c r="E67" i="1"/>
  <c r="G66" i="1"/>
  <c r="F66" i="1"/>
  <c r="AI69" i="1"/>
  <c r="AH69" i="1"/>
  <c r="AF69" i="1"/>
  <c r="AG69" i="1"/>
  <c r="AH66" i="1"/>
  <c r="AG66" i="1"/>
  <c r="AF66" i="1"/>
  <c r="N53" i="2"/>
  <c r="N49" i="2"/>
  <c r="N57" i="1"/>
  <c r="N44" i="1"/>
  <c r="F40" i="1"/>
  <c r="M44" i="1"/>
  <c r="N61" i="2"/>
  <c r="AG61" i="2" s="1"/>
  <c r="M61" i="2"/>
  <c r="AF61" i="2" s="1"/>
  <c r="J61" i="2"/>
  <c r="AC61" i="2" s="1"/>
  <c r="G61" i="2"/>
  <c r="G64" i="1"/>
  <c r="G59" i="2"/>
  <c r="G60" i="2"/>
  <c r="G58" i="2"/>
  <c r="F58" i="2"/>
  <c r="AI61" i="2"/>
  <c r="AH61" i="2"/>
  <c r="AI65" i="1"/>
  <c r="AH65" i="1"/>
  <c r="AF65" i="1"/>
  <c r="AS65" i="1" s="1"/>
  <c r="AH62" i="1"/>
  <c r="AG62" i="1"/>
  <c r="AF62" i="1"/>
  <c r="N65" i="1"/>
  <c r="AG65" i="1" s="1"/>
  <c r="G65" i="1"/>
  <c r="G63" i="1"/>
  <c r="G62" i="1"/>
  <c r="F62" i="1"/>
  <c r="AA40" i="1" l="1"/>
  <c r="AA44" i="1"/>
  <c r="AA66" i="1"/>
  <c r="AA69" i="1"/>
  <c r="AK69" i="1" s="1"/>
  <c r="AA62" i="1"/>
  <c r="AA65" i="1"/>
  <c r="AK65" i="1" s="1"/>
  <c r="AS61" i="2"/>
  <c r="AA58" i="2"/>
  <c r="AK58" i="2" s="1"/>
  <c r="AA61" i="2"/>
  <c r="AA62" i="2"/>
  <c r="AA65" i="2"/>
  <c r="AK65" i="2" s="1"/>
  <c r="AU65" i="2"/>
  <c r="AT65" i="2" s="1"/>
  <c r="AU69" i="1"/>
  <c r="AT69" i="1" s="1"/>
  <c r="AQ61" i="2"/>
  <c r="AO69" i="1"/>
  <c r="AO61" i="2"/>
  <c r="AQ65" i="1"/>
  <c r="AO65" i="1"/>
  <c r="AO65" i="2"/>
  <c r="AN64" i="2"/>
  <c r="AN63" i="2"/>
  <c r="AN62" i="2"/>
  <c r="AN67" i="1"/>
  <c r="AN66" i="1"/>
  <c r="Z69" i="1" s="1"/>
  <c r="AJ69" i="1" s="1"/>
  <c r="AN68" i="1"/>
  <c r="AU61" i="2"/>
  <c r="AT61" i="2" s="1"/>
  <c r="AU65" i="1"/>
  <c r="AT65" i="1" s="1"/>
  <c r="AJ58" i="2"/>
  <c r="AR65" i="1"/>
  <c r="AK66" i="1"/>
  <c r="AP65" i="1"/>
  <c r="AK62" i="2"/>
  <c r="AK62" i="1"/>
  <c r="AJ65" i="1"/>
  <c r="AJ62" i="1"/>
  <c r="AP61" i="2"/>
  <c r="AJ61" i="2"/>
  <c r="AR61" i="2"/>
  <c r="AK61" i="2"/>
  <c r="AL61" i="2" l="1"/>
  <c r="AM65" i="1"/>
  <c r="Z68" i="1"/>
  <c r="Z67" i="1"/>
  <c r="AM69" i="1"/>
  <c r="Z66" i="1"/>
  <c r="AJ66" i="1" s="1"/>
  <c r="AL69" i="1" s="1"/>
  <c r="AM61" i="2"/>
  <c r="AM65" i="2"/>
  <c r="Z65" i="2"/>
  <c r="AJ65" i="2" s="1"/>
  <c r="Z64" i="2"/>
  <c r="Z63" i="2"/>
  <c r="Z62" i="2"/>
  <c r="AP65" i="2" s="1"/>
  <c r="AL65" i="1"/>
  <c r="F54" i="2"/>
  <c r="N57" i="2"/>
  <c r="AG57" i="2" s="1"/>
  <c r="G57" i="2"/>
  <c r="G56" i="2"/>
  <c r="G55" i="2"/>
  <c r="G54" i="2"/>
  <c r="AH57" i="2"/>
  <c r="AF57" i="2"/>
  <c r="AS57" i="2" s="1"/>
  <c r="AQ57" i="2"/>
  <c r="AH49" i="1"/>
  <c r="AU20" i="2"/>
  <c r="AU73" i="1"/>
  <c r="AT73" i="1" s="1"/>
  <c r="AR69" i="1" l="1"/>
  <c r="AP69" i="1"/>
  <c r="AS69" i="1"/>
  <c r="AQ69" i="1"/>
  <c r="AA54" i="2"/>
  <c r="AA57" i="2"/>
  <c r="AK57" i="2" s="1"/>
  <c r="AM57" i="2" s="1"/>
  <c r="AQ65" i="2"/>
  <c r="AS65" i="2"/>
  <c r="AR65" i="2"/>
  <c r="AJ62" i="2"/>
  <c r="AL65" i="2" s="1"/>
  <c r="AO57" i="2"/>
  <c r="AR57" i="2"/>
  <c r="AU57" i="2"/>
  <c r="AT57" i="2" s="1"/>
  <c r="AP57" i="2"/>
  <c r="AU20" i="1"/>
  <c r="AK54" i="2"/>
  <c r="AJ57" i="2"/>
  <c r="AJ54" i="2"/>
  <c r="G53" i="2"/>
  <c r="G52" i="2"/>
  <c r="G51" i="2"/>
  <c r="G50" i="2"/>
  <c r="F50" i="2"/>
  <c r="AI53" i="2"/>
  <c r="AH53" i="2"/>
  <c r="AG53" i="2"/>
  <c r="AF53" i="2"/>
  <c r="AS53" i="2" s="1"/>
  <c r="AG57" i="1"/>
  <c r="G57" i="1"/>
  <c r="G56" i="1"/>
  <c r="G55" i="1"/>
  <c r="G54" i="1"/>
  <c r="F54" i="1"/>
  <c r="AI57" i="1"/>
  <c r="AH57" i="1"/>
  <c r="AF57" i="1"/>
  <c r="AS57" i="1" s="1"/>
  <c r="AH54" i="1"/>
  <c r="AG54" i="1"/>
  <c r="AF54" i="1"/>
  <c r="AA54" i="1" l="1"/>
  <c r="AK54" i="1" s="1"/>
  <c r="AA57" i="1"/>
  <c r="AK57" i="1" s="1"/>
  <c r="AA50" i="2"/>
  <c r="AK50" i="2" s="1"/>
  <c r="AA53" i="2"/>
  <c r="AK53" i="2" s="1"/>
  <c r="AL57" i="2"/>
  <c r="AO57" i="1"/>
  <c r="AQ57" i="1"/>
  <c r="AQ53" i="2"/>
  <c r="AO53" i="2"/>
  <c r="AR57" i="1"/>
  <c r="AU57" i="1"/>
  <c r="AT57" i="1" s="1"/>
  <c r="AU53" i="2"/>
  <c r="AT53" i="2" s="1"/>
  <c r="AP57" i="1"/>
  <c r="AJ53" i="2"/>
  <c r="AJ50" i="2"/>
  <c r="AR53" i="2"/>
  <c r="AP53" i="2"/>
  <c r="AJ57" i="1"/>
  <c r="AJ54" i="1"/>
  <c r="AM53" i="2" l="1"/>
  <c r="AM57" i="1"/>
  <c r="AL53" i="2"/>
  <c r="AL57" i="1"/>
  <c r="AG49" i="2" l="1"/>
  <c r="G49" i="2"/>
  <c r="N53" i="1"/>
  <c r="AG53" i="1" s="1"/>
  <c r="G53" i="1"/>
  <c r="G48" i="2"/>
  <c r="G47" i="2"/>
  <c r="G46" i="2"/>
  <c r="F46" i="2"/>
  <c r="AI49" i="2"/>
  <c r="AH49" i="2"/>
  <c r="AF49" i="2"/>
  <c r="AS49" i="2" s="1"/>
  <c r="G52" i="1"/>
  <c r="G51" i="1"/>
  <c r="G50" i="1"/>
  <c r="F50" i="1"/>
  <c r="AI53" i="1"/>
  <c r="AH53" i="1"/>
  <c r="AF53" i="1"/>
  <c r="AH50" i="1"/>
  <c r="AG50" i="1"/>
  <c r="AF50" i="1"/>
  <c r="AU53" i="1" l="1"/>
  <c r="AC53" i="1"/>
  <c r="AS53" i="1" s="1"/>
  <c r="AA50" i="1"/>
  <c r="AK50" i="1" s="1"/>
  <c r="AA46" i="2"/>
  <c r="AA49" i="2"/>
  <c r="AK49" i="2" s="1"/>
  <c r="AO53" i="1"/>
  <c r="AT53" i="1"/>
  <c r="AQ53" i="1"/>
  <c r="AO49" i="2"/>
  <c r="AQ49" i="2"/>
  <c r="AP49" i="2"/>
  <c r="AJ46" i="2"/>
  <c r="AJ49" i="2"/>
  <c r="AU49" i="2"/>
  <c r="AT49" i="2" s="1"/>
  <c r="AP53" i="1"/>
  <c r="AK46" i="2"/>
  <c r="AR49" i="2"/>
  <c r="AJ50" i="1"/>
  <c r="AR53" i="1"/>
  <c r="AK53" i="1"/>
  <c r="AL49" i="2" l="1"/>
  <c r="AM49" i="2"/>
  <c r="AM53" i="1"/>
  <c r="AJ53" i="1"/>
  <c r="AL53" i="1" s="1"/>
  <c r="AF45" i="1"/>
  <c r="G45" i="2"/>
  <c r="N49" i="1"/>
  <c r="G44" i="2" l="1"/>
  <c r="E44" i="2"/>
  <c r="G48" i="1"/>
  <c r="E48" i="1"/>
  <c r="G43" i="2"/>
  <c r="G42" i="2"/>
  <c r="G41" i="2"/>
  <c r="AU45" i="2" s="1"/>
  <c r="F41" i="2"/>
  <c r="AI45" i="2"/>
  <c r="AH45" i="2"/>
  <c r="AG45" i="2"/>
  <c r="AF45" i="2"/>
  <c r="AS45" i="2" s="1"/>
  <c r="G47" i="1"/>
  <c r="G46" i="1"/>
  <c r="G45" i="1"/>
  <c r="F45" i="1"/>
  <c r="AA45" i="1" s="1"/>
  <c r="AF49" i="1"/>
  <c r="AG49" i="1"/>
  <c r="AI49" i="1"/>
  <c r="AH45" i="1"/>
  <c r="AG45" i="1"/>
  <c r="F38" i="2"/>
  <c r="AO49" i="1" l="1"/>
  <c r="AS49" i="1"/>
  <c r="AA38" i="2"/>
  <c r="AA40" i="2"/>
  <c r="AA41" i="2"/>
  <c r="AA45" i="2"/>
  <c r="AK45" i="2" s="1"/>
  <c r="AT45" i="2"/>
  <c r="AU49" i="1"/>
  <c r="AT49" i="1" s="1"/>
  <c r="AO45" i="2"/>
  <c r="AN44" i="2"/>
  <c r="AN48" i="1"/>
  <c r="AJ41" i="2"/>
  <c r="AP49" i="1"/>
  <c r="AJ45" i="1"/>
  <c r="AK41" i="2"/>
  <c r="AP45" i="2"/>
  <c r="AK45" i="1"/>
  <c r="AK49" i="1"/>
  <c r="N40" i="2"/>
  <c r="G44" i="1"/>
  <c r="AM45" i="2" l="1"/>
  <c r="Z44" i="2"/>
  <c r="Z45" i="2"/>
  <c r="Z49" i="1"/>
  <c r="Z48" i="1"/>
  <c r="AM49" i="1"/>
  <c r="AG40" i="2"/>
  <c r="AI40" i="2"/>
  <c r="AI44" i="1"/>
  <c r="AH44" i="1"/>
  <c r="AG44" i="1"/>
  <c r="AF44" i="1"/>
  <c r="AS44" i="1" s="1"/>
  <c r="G39" i="2"/>
  <c r="G38" i="2"/>
  <c r="G42" i="1"/>
  <c r="G41" i="1"/>
  <c r="G40" i="1"/>
  <c r="AT40" i="2" l="1"/>
  <c r="AU40" i="2"/>
  <c r="AJ45" i="2"/>
  <c r="AL45" i="2" s="1"/>
  <c r="AR45" i="2"/>
  <c r="AQ45" i="2"/>
  <c r="AQ49" i="1"/>
  <c r="AJ49" i="1"/>
  <c r="AL49" i="1" s="1"/>
  <c r="AR49" i="1"/>
  <c r="AT44" i="1"/>
  <c r="AU44" i="1"/>
  <c r="AO44" i="1"/>
  <c r="AK40" i="2"/>
  <c r="AJ40" i="2"/>
  <c r="AC15" i="2"/>
  <c r="AF25" i="2"/>
  <c r="AI39" i="1"/>
  <c r="AG39" i="1"/>
  <c r="AF39" i="1"/>
  <c r="AH39" i="1"/>
  <c r="AI37" i="2"/>
  <c r="AJ44" i="1"/>
  <c r="AD39" i="1"/>
  <c r="AC39" i="1"/>
  <c r="AA39" i="1"/>
  <c r="Z39" i="1"/>
  <c r="Z38" i="1"/>
  <c r="Z37" i="1"/>
  <c r="AF35" i="1"/>
  <c r="AC35" i="1"/>
  <c r="AF27" i="1"/>
  <c r="AC27" i="1"/>
  <c r="AF26" i="1"/>
  <c r="AC26" i="1"/>
  <c r="AF25" i="1"/>
  <c r="AC25" i="1"/>
  <c r="AC24" i="1"/>
  <c r="AF20" i="1"/>
  <c r="AC20" i="1"/>
  <c r="AF19" i="1"/>
  <c r="AC19" i="1"/>
  <c r="AF18" i="1"/>
  <c r="AC18" i="1"/>
  <c r="Z18" i="1"/>
  <c r="AF17" i="1"/>
  <c r="AC17" i="1"/>
  <c r="AF16" i="1"/>
  <c r="AC16" i="1"/>
  <c r="Z16" i="1"/>
  <c r="AF15" i="1"/>
  <c r="AC15" i="1"/>
  <c r="Z15" i="1"/>
  <c r="AF14" i="1"/>
  <c r="AC14" i="1"/>
  <c r="Z14" i="1"/>
  <c r="AF24" i="2"/>
  <c r="AH37" i="2"/>
  <c r="Z31" i="2"/>
  <c r="Z32" i="2"/>
  <c r="Z35" i="2"/>
  <c r="Z37" i="2"/>
  <c r="Z36" i="2"/>
  <c r="AA37" i="2"/>
  <c r="AD37" i="2"/>
  <c r="AG37" i="2"/>
  <c r="AH34" i="2"/>
  <c r="AF37" i="2"/>
  <c r="AF34" i="2"/>
  <c r="AF33" i="2"/>
  <c r="AF30" i="2"/>
  <c r="AF27" i="2"/>
  <c r="AF26" i="2"/>
  <c r="AF20" i="2"/>
  <c r="AF15" i="2"/>
  <c r="AF17" i="2"/>
  <c r="AF18" i="2"/>
  <c r="AF19" i="2"/>
  <c r="AF14" i="2"/>
  <c r="AC18" i="2"/>
  <c r="AC16" i="2"/>
  <c r="AC14" i="2"/>
  <c r="AC30" i="2"/>
  <c r="AC37" i="2"/>
  <c r="AC34" i="2"/>
  <c r="Z18" i="2"/>
  <c r="Z16" i="2"/>
  <c r="Z15" i="2"/>
  <c r="Z14" i="2"/>
  <c r="AQ40" i="2" l="1"/>
  <c r="AP44" i="1"/>
  <c r="AR44" i="1"/>
  <c r="AP40" i="2"/>
  <c r="AR40" i="2"/>
  <c r="AJ38" i="2"/>
  <c r="AL40" i="2" s="1"/>
  <c r="AK44" i="1"/>
  <c r="AJ15" i="2"/>
  <c r="AJ18" i="2"/>
  <c r="AK40" i="1"/>
  <c r="AJ37" i="2"/>
  <c r="AJ16" i="2"/>
  <c r="AP20" i="1"/>
  <c r="AJ15" i="1"/>
  <c r="AJ16" i="1"/>
  <c r="AJ18" i="1"/>
  <c r="AK39" i="1"/>
  <c r="AP20" i="2"/>
  <c r="AJ14" i="2"/>
  <c r="AL14" i="2" s="1"/>
  <c r="AK38" i="2"/>
  <c r="AM40" i="2" s="1"/>
  <c r="AK37" i="2"/>
  <c r="AJ14" i="1"/>
  <c r="AL14" i="1" s="1"/>
  <c r="AJ39" i="1"/>
  <c r="AJ40" i="1"/>
  <c r="AL44" i="1" s="1"/>
  <c r="Z29" i="1"/>
  <c r="AM44" i="1" l="1"/>
  <c r="AL18" i="1"/>
  <c r="AL16" i="2"/>
  <c r="AL16" i="1"/>
  <c r="AL15" i="1"/>
  <c r="AL18" i="2"/>
  <c r="AL15" i="2"/>
  <c r="J33" i="2"/>
  <c r="AC33" i="2" s="1"/>
  <c r="J27" i="2"/>
  <c r="AC27" i="2" s="1"/>
  <c r="J26" i="2"/>
  <c r="AC26" i="2" s="1"/>
  <c r="J25" i="2"/>
  <c r="AC25" i="2" s="1"/>
  <c r="J24" i="2"/>
  <c r="AC24" i="2" s="1"/>
  <c r="J20" i="2"/>
  <c r="AC20" i="2" s="1"/>
  <c r="J19" i="2"/>
  <c r="AC19" i="2" s="1"/>
  <c r="J17" i="2"/>
  <c r="AC17" i="2" s="1"/>
  <c r="G37" i="2"/>
  <c r="G39" i="1"/>
  <c r="G36" i="2"/>
  <c r="G38" i="1"/>
  <c r="G34" i="2"/>
  <c r="G35" i="2"/>
  <c r="E34" i="2"/>
  <c r="Z34" i="2" s="1"/>
  <c r="G37" i="1"/>
  <c r="G36" i="1"/>
  <c r="E36" i="1"/>
  <c r="Z36" i="1" s="1"/>
  <c r="AU39" i="1" l="1"/>
  <c r="AU37" i="2"/>
  <c r="AR39" i="1"/>
  <c r="AP39" i="1"/>
  <c r="AR37" i="2"/>
  <c r="AP37" i="2"/>
  <c r="AJ34" i="2"/>
  <c r="AJ36" i="1"/>
  <c r="G33" i="2"/>
  <c r="G35" i="1"/>
  <c r="E33" i="2"/>
  <c r="Z33" i="2" s="1"/>
  <c r="AJ33" i="2" s="1"/>
  <c r="E35" i="1"/>
  <c r="Z35" i="1" s="1"/>
  <c r="AJ35" i="1" s="1"/>
  <c r="G32" i="2"/>
  <c r="G31" i="2"/>
  <c r="G30" i="2"/>
  <c r="E30" i="2"/>
  <c r="Z30" i="2" s="1"/>
  <c r="G34" i="1"/>
  <c r="E34" i="1"/>
  <c r="Z34" i="1" s="1"/>
  <c r="G33" i="1"/>
  <c r="E33" i="1"/>
  <c r="Z33" i="1" s="1"/>
  <c r="G32" i="1"/>
  <c r="E32" i="1"/>
  <c r="Z32" i="1" s="1"/>
  <c r="AU35" i="1" l="1"/>
  <c r="AU33" i="2"/>
  <c r="AR35" i="1"/>
  <c r="AP35" i="1"/>
  <c r="AK36" i="1"/>
  <c r="AM39" i="1" s="1"/>
  <c r="AL39" i="1"/>
  <c r="AL34" i="2"/>
  <c r="AK34" i="2"/>
  <c r="AL37" i="2"/>
  <c r="AR33" i="2"/>
  <c r="AP33" i="2"/>
  <c r="AJ30" i="2"/>
  <c r="AL33" i="2" s="1"/>
  <c r="AJ32" i="1"/>
  <c r="AL35" i="1" s="1"/>
  <c r="G29" i="2"/>
  <c r="E29" i="2"/>
  <c r="G28" i="2"/>
  <c r="E28" i="2"/>
  <c r="Z28" i="2" s="1"/>
  <c r="E27" i="2"/>
  <c r="Z27" i="2" s="1"/>
  <c r="AJ27" i="2" s="1"/>
  <c r="E26" i="2"/>
  <c r="Z26" i="2" s="1"/>
  <c r="AJ26" i="2" s="1"/>
  <c r="E25" i="2"/>
  <c r="Z25" i="2" s="1"/>
  <c r="AJ25" i="2" s="1"/>
  <c r="G31" i="1"/>
  <c r="E31" i="1"/>
  <c r="E28" i="1"/>
  <c r="Z28" i="1" s="1"/>
  <c r="G28" i="1"/>
  <c r="E27" i="1"/>
  <c r="Z27" i="1" s="1"/>
  <c r="AJ27" i="1" s="1"/>
  <c r="E26" i="1"/>
  <c r="Z26" i="1" s="1"/>
  <c r="AJ26" i="1" s="1"/>
  <c r="E25" i="1"/>
  <c r="Z25" i="1" s="1"/>
  <c r="AJ25" i="1" s="1"/>
  <c r="G27" i="2"/>
  <c r="G26" i="2"/>
  <c r="G27" i="1"/>
  <c r="G26" i="1"/>
  <c r="AJ28" i="1" l="1"/>
  <c r="G25" i="2"/>
  <c r="G24" i="2"/>
  <c r="G25" i="1"/>
  <c r="G24" i="1"/>
  <c r="AU27" i="1" s="1"/>
  <c r="G17" i="2"/>
  <c r="G17" i="1"/>
  <c r="AU27" i="2" l="1"/>
  <c r="E24" i="2"/>
  <c r="Z24" i="2" s="1"/>
  <c r="E24" i="1"/>
  <c r="Z24" i="1" s="1"/>
  <c r="AP27" i="1" s="1"/>
  <c r="AR27" i="1" l="1"/>
  <c r="AJ24" i="1"/>
  <c r="AR27" i="2"/>
  <c r="AJ24" i="2"/>
  <c r="AP27" i="2"/>
  <c r="E30" i="1"/>
  <c r="Z30" i="1" s="1"/>
  <c r="AJ30" i="1" l="1"/>
  <c r="AL30" i="1" s="1"/>
  <c r="AR30" i="1"/>
  <c r="AL27" i="1"/>
  <c r="AL26" i="1"/>
  <c r="AL25" i="1"/>
  <c r="AL25" i="2"/>
  <c r="AL26" i="2"/>
  <c r="AL27" i="2"/>
  <c r="E20" i="2" l="1"/>
  <c r="Z20" i="2" s="1"/>
  <c r="E19" i="2"/>
  <c r="Z19" i="2" s="1"/>
  <c r="AJ19" i="2" s="1"/>
  <c r="AL19" i="2" s="1"/>
  <c r="E17" i="2"/>
  <c r="Z17" i="2" s="1"/>
  <c r="AJ17" i="2" s="1"/>
  <c r="AL17" i="2" s="1"/>
  <c r="E20" i="1"/>
  <c r="Z20" i="1" s="1"/>
  <c r="E19" i="1"/>
  <c r="Z19" i="1" s="1"/>
  <c r="AJ19" i="1" s="1"/>
  <c r="AL19" i="1" s="1"/>
  <c r="E17" i="1"/>
  <c r="Z17" i="1" s="1"/>
  <c r="AJ17" i="1" s="1"/>
  <c r="AL17" i="1" s="1"/>
  <c r="AJ20" i="1" l="1"/>
  <c r="AL20" i="1" s="1"/>
  <c r="AR20" i="1"/>
  <c r="AJ20" i="2"/>
  <c r="AL20" i="2" s="1"/>
  <c r="AR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tc={BFD4476A-D7E0-4BC6-ADFB-2BC49A01F93F}</author>
    <author>tc={6618033F-05D2-4B2F-AC03-0596DEAD6824}</author>
    <author>dmolognoni</author>
    <author>tc={614E54C1-F29F-4EED-9D0A-FCBB5FC4B0DC}</author>
    <author>tc={21D25558-A2E4-4606-A067-BA6E4BE7453A}</author>
    <author>tc={024C585B-42C3-40FC-BB40-D21FFD98B6BD}</author>
    <author>tc={09291DED-E20B-419B-BA1D-142EE3301390}</author>
    <author>tc={6DAB9958-E06D-49F2-AC48-94AE360B628F}</author>
    <author>tc={5B335010-4C70-4F74-8F81-C03FEC47444E}</author>
    <author>tc={13E4B3D9-65C0-4CF4-9216-EC249D66841E}</author>
    <author>tc={D63DB12F-8E84-43E2-930F-FC8F02743D13}</author>
  </authors>
  <commentList>
    <comment ref="AA11" authorId="0" shapeId="0" xr:uid="{00000000-0006-0000-02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No es exacto porque no sabemos el nitrógeno total de las muestras intermedias. Sin embargo, viendo el comportamiento para el N-NH4 probablemente no infiera mucho en el resultado</t>
      </text>
    </comment>
    <comment ref="AM11" authorId="1" shapeId="0" xr:uid="{00000000-0006-0000-02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No es exacto porque el TN no toma en cuenta las muestras intermedias</t>
      </text>
    </comment>
    <comment ref="G18" authorId="2" shapeId="0" xr:uid="{00000000-0006-0000-0200-000003000000}">
      <text>
        <r>
          <rPr>
            <b/>
            <sz val="9"/>
            <color indexed="81"/>
            <rFont val="Tahoma"/>
            <family val="2"/>
          </rPr>
          <t>dmolognoni:</t>
        </r>
        <r>
          <rPr>
            <sz val="9"/>
            <color indexed="81"/>
            <rFont val="Tahoma"/>
            <family val="2"/>
          </rPr>
          <t xml:space="preserve">
2629</t>
        </r>
      </text>
    </comment>
    <comment ref="D19" authorId="2" shapeId="0" xr:uid="{00000000-0006-0000-0200-000004000000}">
      <text>
        <r>
          <rPr>
            <b/>
            <sz val="9"/>
            <color indexed="81"/>
            <rFont val="Tahoma"/>
            <family val="2"/>
          </rPr>
          <t>dmolognoni:</t>
        </r>
        <r>
          <rPr>
            <sz val="9"/>
            <color indexed="81"/>
            <rFont val="Tahoma"/>
            <family val="2"/>
          </rPr>
          <t xml:space="preserve">
19,96</t>
        </r>
      </text>
    </comment>
    <comment ref="L84" authorId="2" shapeId="0" xr:uid="{00000000-0006-0000-0200-000005000000}">
      <text>
        <r>
          <rPr>
            <b/>
            <sz val="9"/>
            <color indexed="81"/>
            <rFont val="Tahoma"/>
            <family val="2"/>
          </rPr>
          <t>dmolognoni:</t>
        </r>
        <r>
          <rPr>
            <sz val="9"/>
            <color indexed="81"/>
            <rFont val="Tahoma"/>
            <family val="2"/>
          </rPr>
          <t xml:space="preserve">
pH 8,76 because catholyte contaminated acid trap</t>
        </r>
      </text>
    </comment>
    <comment ref="H100" authorId="3" shapeId="0" xr:uid="{614E54C1-F29F-4EED-9D0A-FCBB5FC4B0DC}">
      <text>
        <t>[Comentario encadenado]
Su versión de Excel le permite leer este comentario encadenado; sin embargo, las ediciones que se apliquen se quitarán si el archivo se abre en una versión más reciente de Excel. Más información: https://go.microsoft.com/fwlink/?linkid=870924
Comentario:
    CODf=338 mg/L</t>
      </text>
    </comment>
    <comment ref="L100" authorId="4" shapeId="0" xr:uid="{21D25558-A2E4-4606-A067-BA6E4BE7453A}">
      <text>
        <t>[Comentario encadenado]
Su versión de Excel le permite leer este comentario encadenado; sin embargo, las ediciones que se apliquen se quitarán si el archivo se abre en una versión más reciente de Excel. Más información: https://go.microsoft.com/fwlink/?linkid=870924
Comentario:
    Debido a la mayor concentración de la trampa ácida inicial (0,4 M)</t>
      </text>
    </comment>
    <comment ref="AP100" authorId="5" shapeId="0" xr:uid="{024C585B-42C3-40FC-BB40-D21FFD98B6BD}">
      <text>
        <t>[Comentario encadenado]
Su versión de Excel le permite leer este comentario encadenado; sin embargo, las ediciones que se apliquen se quitarán si el archivo se abre en una versión más reciente de Excel. Más información: https://go.microsoft.com/fwlink/?linkid=870924
Comentario:
    Probablemente debido a la concentración superior de la trampa ácida, ya que estoy aumentando la capacidad de retención. Sin embargo, ya que estoy viendo voltaje no es tan crítico porque me interesa más el removal</t>
      </text>
    </comment>
    <comment ref="H104" authorId="6" shapeId="0" xr:uid="{09291DED-E20B-419B-BA1D-142EE3301390}">
      <text>
        <t>[Comentario encadenado]
Su versión de Excel le permite leer este comentario encadenado; sin embargo, las ediciones que se apliquen se quitarán si el archivo se abre en una versión más reciente de Excel. Más información: https://go.microsoft.com/fwlink/?linkid=870924
Comentario:
    CODf=318 mg/L</t>
      </text>
    </comment>
    <comment ref="R105" authorId="7" shapeId="0" xr:uid="{6DAB9958-E06D-49F2-AC48-94AE360B628F}">
      <text>
        <t>[Comentario encadenado]
Su versión de Excel le permite leer este comentario encadenado; sin embargo, las ediciones que se apliquen se quitarán si el archivo se abre en una versión más reciente de Excel. Más información: https://go.microsoft.com/fwlink/?linkid=870924
Comentario:
    Eánodo(OCV)=-0,513 V</t>
      </text>
    </comment>
    <comment ref="S105" authorId="8" shapeId="0" xr:uid="{5B335010-4C70-4F74-8F81-C03FEC47444E}">
      <text>
        <t>[Comentario encadenado]
Su versión de Excel le permite leer este comentario encadenado; sin embargo, las ediciones que se apliquen se quitarán si el archivo se abre en una versión más reciente de Excel. Más información: https://go.microsoft.com/fwlink/?linkid=870924
Comentario:
    Ecátodo(OCV)=-LD (-0,0694 medido con ref de la C2)</t>
      </text>
    </comment>
    <comment ref="S107" authorId="9" shapeId="0" xr:uid="{13E4B3D9-65C0-4CF4-9216-EC249D66841E}">
      <text>
        <t>[Comentario encadenado]
Su versión de Excel le permite leer este comentario encadenado; sin embargo, las ediciones que se apliquen se quitarán si el archivo se abre en una versión más reciente de Excel. Más información: https://go.microsoft.com/fwlink/?linkid=870924
Comentario:
    Calculado a partir del potencial aplicado</t>
      </text>
    </comment>
    <comment ref="H109" authorId="10" shapeId="0" xr:uid="{D63DB12F-8E84-43E2-930F-FC8F02743D13}">
      <text>
        <t>[Comentario encadenado]
Su versión de Excel le permite leer este comentario encadenado; sin embargo, las ediciones que se apliquen se quitarán si el archivo se abre en una versión más reciente de Excel. Más información: https://go.microsoft.com/fwlink/?linkid=870924
Comentario:
    CODf=350 mg/L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tc={4698E1C9-A0C0-4BB1-8DB5-BDA33F366816}</author>
    <author>dmolognoni</author>
    <author>tc={2F07B990-0B0F-4849-99E3-C953EBA99CE6}</author>
    <author>tc={895474D1-9F30-4FF9-B7C8-674DF289AE5F}</author>
    <author>tc={D76CBD25-C346-4C65-ACAA-FA101940FE66}</author>
    <author>tc={A974C49C-F6D6-4A30-A25E-284C99C94651}</author>
    <author>tc={0DB50198-4D6B-4D4F-8A4D-351B25EECB38}</author>
    <author>tc={EAE37AEE-1E27-44B4-947F-94C89F72452D}</author>
    <author>tc={82C58F3F-8BFD-4A26-80DE-622D7BB48307}</author>
  </authors>
  <commentList>
    <comment ref="AA11" authorId="0" shapeId="0" xr:uid="{00000000-0006-0000-03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No es exacto porque no sabemos el nitrógeno total de las muestras intermedias. Sin embargo, viendo el comportamiento para el N-NH4 probablemente no infiera mucho en el resultado</t>
      </text>
    </comment>
    <comment ref="G18" authorId="1" shapeId="0" xr:uid="{00000000-0006-0000-0300-000002000000}">
      <text>
        <r>
          <rPr>
            <b/>
            <sz val="9"/>
            <color indexed="81"/>
            <rFont val="Tahoma"/>
            <family val="2"/>
          </rPr>
          <t>dmolognoni:</t>
        </r>
        <r>
          <rPr>
            <sz val="9"/>
            <color indexed="81"/>
            <rFont val="Tahoma"/>
            <family val="2"/>
          </rPr>
          <t xml:space="preserve">
1691</t>
        </r>
      </text>
    </comment>
    <comment ref="H97" authorId="2" shapeId="0" xr:uid="{2F07B990-0B0F-4849-99E3-C953EBA99CE6}">
      <text>
        <t>[Comentario encadenado]
Su versión de Excel le permite leer este comentario encadenado; sin embargo, las ediciones que se apliquen se quitarán si el archivo se abre en una versión más reciente de Excel. Más información: https://go.microsoft.com/fwlink/?linkid=870924
Comentario:
    CODf=266 mg/L</t>
      </text>
    </comment>
    <comment ref="L97" authorId="3" shapeId="0" xr:uid="{895474D1-9F30-4FF9-B7C8-674DF289AE5F}">
      <text>
        <t>[Comentario encadenado]
Su versión de Excel le permite leer este comentario encadenado; sin embargo, las ediciones que se apliquen se quitarán si el archivo se abre en una versión más reciente de Excel. Más información: https://go.microsoft.com/fwlink/?linkid=870924
Comentario:
    Debido a la mayor concentración de la trampa ácida inicial (0,4 M)</t>
      </text>
    </comment>
    <comment ref="H101" authorId="4" shapeId="0" xr:uid="{D76CBD25-C346-4C65-ACAA-FA101940FE66}">
      <text>
        <t>[Comentario encadenado]
Su versión de Excel le permite leer este comentario encadenado; sin embargo, las ediciones que se apliquen se quitarán si el archivo se abre en una versión más reciente de Excel. Más información: https://go.microsoft.com/fwlink/?linkid=870924
Comentario:
    CODf=332 mg/L</t>
      </text>
    </comment>
    <comment ref="R102" authorId="5" shapeId="0" xr:uid="{A974C49C-F6D6-4A30-A25E-284C99C94651}">
      <text>
        <t>[Comentario encadenado]
Su versión de Excel le permite leer este comentario encadenado; sin embargo, las ediciones que se apliquen se quitarán si el archivo se abre en una versión más reciente de Excel. Más información: https://go.microsoft.com/fwlink/?linkid=870924
Comentario:
    Eánodo(OCV)=-0,503 V</t>
      </text>
    </comment>
    <comment ref="S102" authorId="6" shapeId="0" xr:uid="{0DB50198-4D6B-4D4F-8A4D-351B25EECB38}">
      <text>
        <t>[Comentario encadenado]
Su versión de Excel le permite leer este comentario encadenado; sin embargo, las ediciones que se apliquen se quitarán si el archivo se abre en una versión más reciente de Excel. Más información: https://go.microsoft.com/fwlink/?linkid=870924
Comentario:
    Ecátodo(OCV)=-0,068</t>
      </text>
    </comment>
    <comment ref="S104" authorId="7" shapeId="0" xr:uid="{EAE37AEE-1E27-44B4-947F-94C89F72452D}">
      <text>
        <t>[Comentario encadenado]
Su versión de Excel le permite leer este comentario encadenado; sin embargo, las ediciones que se apliquen se quitarán si el archivo se abre en una versión más reciente de Excel. Más información: https://go.microsoft.com/fwlink/?linkid=870924
Comentario:
    Calculado a partir del potencial aplicado</t>
      </text>
    </comment>
    <comment ref="H106" authorId="8" shapeId="0" xr:uid="{82C58F3F-8BFD-4A26-80DE-622D7BB48307}">
      <text>
        <t>[Comentario encadenado]
Su versión de Excel le permite leer este comentario encadenado; sin embargo, las ediciones que se apliquen se quitarán si el archivo se abre en una versión más reciente de Excel. Más información: https://go.microsoft.com/fwlink/?linkid=870924
Comentario:
    CODf=322 mg/L</t>
      </text>
    </comment>
  </commentList>
</comments>
</file>

<file path=xl/sharedStrings.xml><?xml version="1.0" encoding="utf-8"?>
<sst xmlns="http://schemas.openxmlformats.org/spreadsheetml/2006/main" count="3434" uniqueCount="202">
  <si>
    <t>Test N</t>
  </si>
  <si>
    <t>Prog. Hour</t>
  </si>
  <si>
    <t>pH</t>
  </si>
  <si>
    <t>cond</t>
  </si>
  <si>
    <t>mS/cm</t>
  </si>
  <si>
    <t>N-NH4+</t>
  </si>
  <si>
    <t>COD</t>
  </si>
  <si>
    <t>mg/L</t>
  </si>
  <si>
    <t>date</t>
  </si>
  <si>
    <t>anode</t>
  </si>
  <si>
    <t>cathode</t>
  </si>
  <si>
    <t>acid trap 1</t>
  </si>
  <si>
    <t>acid trap 2</t>
  </si>
  <si>
    <t>E an</t>
  </si>
  <si>
    <t>E cat</t>
  </si>
  <si>
    <t>V vs Ag/AgCl</t>
  </si>
  <si>
    <t>electric data</t>
  </si>
  <si>
    <t>Anolyte volume</t>
  </si>
  <si>
    <t>Catholyte volume</t>
  </si>
  <si>
    <t>Acid traps volume</t>
  </si>
  <si>
    <t>mL</t>
  </si>
  <si>
    <t>other info</t>
  </si>
  <si>
    <t>air flow-rate</t>
  </si>
  <si>
    <t>mL/min</t>
  </si>
  <si>
    <t>Recirculation rate</t>
  </si>
  <si>
    <t>mA</t>
  </si>
  <si>
    <t>-</t>
  </si>
  <si>
    <t>no data available for this cycle</t>
  </si>
  <si>
    <t>Air flow-rate</t>
  </si>
  <si>
    <t>variable</t>
  </si>
  <si>
    <t>&lt;LD</t>
  </si>
  <si>
    <t>Observations</t>
  </si>
  <si>
    <t>FR</t>
  </si>
  <si>
    <t>Legend</t>
  </si>
  <si>
    <t>out of range</t>
  </si>
  <si>
    <t>CELL 1 FOR N RECOVERY</t>
  </si>
  <si>
    <t>constant current method, abiotic conditions</t>
  </si>
  <si>
    <t>catholyte turned to blue color</t>
  </si>
  <si>
    <t>no data due to lack of ammonium in anolyte</t>
  </si>
  <si>
    <t>CELL 2 FOR N RECOVERY</t>
  </si>
  <si>
    <t>open circuit method, abiotic conditions</t>
  </si>
  <si>
    <r>
      <t xml:space="preserve">the system can be operated as MFC. </t>
    </r>
    <r>
      <rPr>
        <b/>
        <i/>
        <sz val="11"/>
        <color theme="1"/>
        <rFont val="Calibri"/>
        <family val="2"/>
        <scheme val="minor"/>
      </rPr>
      <t>Sample volume=</t>
    </r>
    <r>
      <rPr>
        <i/>
        <sz val="11"/>
        <color theme="1"/>
        <rFont val="Calibri"/>
        <family val="2"/>
        <scheme val="minor"/>
      </rPr>
      <t>15 ml.</t>
    </r>
  </si>
  <si>
    <r>
      <t xml:space="preserve">Catholyte slightly turned to blue color. </t>
    </r>
    <r>
      <rPr>
        <b/>
        <i/>
        <sz val="11"/>
        <color theme="1"/>
        <rFont val="Calibri"/>
        <family val="2"/>
        <scheme val="minor"/>
      </rPr>
      <t>Sample volume</t>
    </r>
    <r>
      <rPr>
        <i/>
        <sz val="11"/>
        <color theme="1"/>
        <rFont val="Calibri"/>
        <family val="2"/>
        <scheme val="minor"/>
      </rPr>
      <t>=20 ml.</t>
    </r>
  </si>
  <si>
    <r>
      <rPr>
        <b/>
        <i/>
        <sz val="11"/>
        <color theme="1"/>
        <rFont val="Calibri"/>
        <family val="2"/>
        <scheme val="minor"/>
      </rPr>
      <t>Sample volume</t>
    </r>
    <r>
      <rPr>
        <i/>
        <sz val="11"/>
        <color theme="1"/>
        <rFont val="Calibri"/>
        <family val="2"/>
        <scheme val="minor"/>
      </rPr>
      <t>=20 ml.</t>
    </r>
  </si>
  <si>
    <t>anolyte shows yellow particulate, catholyte turned to blue color, acid trap 1 turned to yellow</t>
  </si>
  <si>
    <r>
      <t xml:space="preserve">it be operated as MFC. </t>
    </r>
    <r>
      <rPr>
        <b/>
        <i/>
        <sz val="11"/>
        <color theme="1"/>
        <rFont val="Calibri"/>
        <family val="2"/>
        <scheme val="minor"/>
      </rPr>
      <t>Sample volume=</t>
    </r>
    <r>
      <rPr>
        <i/>
        <sz val="11"/>
        <color theme="1"/>
        <rFont val="Calibri"/>
        <family val="2"/>
        <scheme val="minor"/>
      </rPr>
      <t>15 ml.</t>
    </r>
  </si>
  <si>
    <r>
      <t xml:space="preserve">constant anode potential, biotic conditions. </t>
    </r>
    <r>
      <rPr>
        <b/>
        <i/>
        <sz val="11"/>
        <color theme="1"/>
        <rFont val="Calibri"/>
        <family val="2"/>
        <scheme val="minor"/>
      </rPr>
      <t>Sample volume</t>
    </r>
    <r>
      <rPr>
        <i/>
        <sz val="11"/>
        <color theme="1"/>
        <rFont val="Calibri"/>
        <family val="2"/>
        <scheme val="minor"/>
      </rPr>
      <t>=15 ml.</t>
    </r>
  </si>
  <si>
    <r>
      <t xml:space="preserve">constant anode potential, biotic conditions. </t>
    </r>
    <r>
      <rPr>
        <b/>
        <i/>
        <sz val="11"/>
        <color theme="1"/>
        <rFont val="Calibri"/>
        <family val="2"/>
        <scheme val="minor"/>
      </rPr>
      <t>Sample volume=</t>
    </r>
    <r>
      <rPr>
        <i/>
        <sz val="11"/>
        <color theme="1"/>
        <rFont val="Calibri"/>
        <family val="2"/>
        <scheme val="minor"/>
      </rPr>
      <t>15 ml.</t>
    </r>
  </si>
  <si>
    <t>F</t>
  </si>
  <si>
    <r>
      <t>Sample volume</t>
    </r>
    <r>
      <rPr>
        <i/>
        <sz val="11"/>
        <color theme="1"/>
        <rFont val="Calibri"/>
        <family val="2"/>
        <scheme val="minor"/>
      </rPr>
      <t>=20 ml. End of experiment</t>
    </r>
  </si>
  <si>
    <t>E cell</t>
  </si>
  <si>
    <t>V</t>
  </si>
  <si>
    <r>
      <t>Sample volume</t>
    </r>
    <r>
      <rPr>
        <i/>
        <sz val="11"/>
        <color theme="1"/>
        <rFont val="Calibri"/>
        <family val="2"/>
        <scheme val="minor"/>
      </rPr>
      <t>=20 ml. Strange E behaviour (current collectors??)</t>
    </r>
  </si>
  <si>
    <t>Variable</t>
  </si>
  <si>
    <t>Operation</t>
  </si>
  <si>
    <r>
      <t>; Sample volume</t>
    </r>
    <r>
      <rPr>
        <i/>
        <sz val="11"/>
        <color theme="1"/>
        <rFont val="Calibri"/>
        <family val="2"/>
        <scheme val="minor"/>
      </rPr>
      <t>=20 ml.</t>
    </r>
  </si>
  <si>
    <r>
      <t>Anolyte Sample volume</t>
    </r>
    <r>
      <rPr>
        <i/>
        <sz val="11"/>
        <color theme="1"/>
        <rFont val="Calibri"/>
        <family val="2"/>
        <scheme val="minor"/>
      </rPr>
      <t>=20 ml.</t>
    </r>
  </si>
  <si>
    <r>
      <t>Anolyte Sample volume</t>
    </r>
    <r>
      <rPr>
        <i/>
        <sz val="11"/>
        <color theme="1"/>
        <rFont val="Calibri"/>
        <family val="2"/>
        <scheme val="minor"/>
      </rPr>
      <t>=20 ml. End of experiment</t>
    </r>
  </si>
  <si>
    <t>TN</t>
  </si>
  <si>
    <t>&gt;&gt;1370</t>
  </si>
  <si>
    <t>&lt;20</t>
  </si>
  <si>
    <t>100&gt;x&gt;200</t>
  </si>
  <si>
    <t>mg</t>
  </si>
  <si>
    <r>
      <t>V</t>
    </r>
    <r>
      <rPr>
        <b/>
        <vertAlign val="subscript"/>
        <sz val="11"/>
        <color theme="1"/>
        <rFont val="Calibri"/>
        <family val="2"/>
        <scheme val="minor"/>
      </rPr>
      <t>AN</t>
    </r>
  </si>
  <si>
    <r>
      <t>V</t>
    </r>
    <r>
      <rPr>
        <b/>
        <vertAlign val="subscript"/>
        <sz val="11"/>
        <color theme="1"/>
        <rFont val="Calibri"/>
        <family val="2"/>
        <scheme val="minor"/>
      </rPr>
      <t>CAT</t>
    </r>
  </si>
  <si>
    <r>
      <t>V</t>
    </r>
    <r>
      <rPr>
        <b/>
        <vertAlign val="subscript"/>
        <sz val="11"/>
        <color theme="1"/>
        <rFont val="Calibri"/>
        <family val="2"/>
        <scheme val="minor"/>
      </rPr>
      <t>traps</t>
    </r>
  </si>
  <si>
    <t>L</t>
  </si>
  <si>
    <r>
      <t>N-NH</t>
    </r>
    <r>
      <rPr>
        <b/>
        <vertAlign val="subscript"/>
        <sz val="11"/>
        <color theme="1"/>
        <rFont val="Calibri"/>
        <family val="2"/>
        <scheme val="minor"/>
      </rPr>
      <t>4 AN</t>
    </r>
  </si>
  <si>
    <r>
      <t>N-NH</t>
    </r>
    <r>
      <rPr>
        <b/>
        <vertAlign val="subscript"/>
        <sz val="11"/>
        <color theme="1"/>
        <rFont val="Calibri"/>
        <family val="2"/>
        <scheme val="minor"/>
      </rPr>
      <t>4 CAT</t>
    </r>
  </si>
  <si>
    <t>nitrogen mass balance</t>
  </si>
  <si>
    <t>Acid traps</t>
  </si>
  <si>
    <t>Catholyte</t>
  </si>
  <si>
    <t>Anolyte</t>
  </si>
  <si>
    <r>
      <t xml:space="preserve">TN </t>
    </r>
    <r>
      <rPr>
        <b/>
        <vertAlign val="subscript"/>
        <sz val="11"/>
        <color theme="1"/>
        <rFont val="Calibri"/>
        <family val="2"/>
        <scheme val="minor"/>
      </rPr>
      <t>CAT</t>
    </r>
  </si>
  <si>
    <r>
      <t>N-NH</t>
    </r>
    <r>
      <rPr>
        <b/>
        <vertAlign val="subscript"/>
        <sz val="11"/>
        <color theme="1"/>
        <rFont val="Calibri"/>
        <family val="2"/>
        <scheme val="minor"/>
      </rPr>
      <t>4 TRAP 1</t>
    </r>
  </si>
  <si>
    <r>
      <t>N-NH</t>
    </r>
    <r>
      <rPr>
        <b/>
        <vertAlign val="subscript"/>
        <sz val="11"/>
        <color theme="1"/>
        <rFont val="Calibri"/>
        <family val="2"/>
        <scheme val="minor"/>
      </rPr>
      <t>4 TRAP 2</t>
    </r>
  </si>
  <si>
    <r>
      <t>N-NH</t>
    </r>
    <r>
      <rPr>
        <b/>
        <vertAlign val="subscript"/>
        <sz val="11"/>
        <color theme="1"/>
        <rFont val="Calibri"/>
        <family val="2"/>
        <scheme val="minor"/>
      </rPr>
      <t xml:space="preserve">4 </t>
    </r>
  </si>
  <si>
    <r>
      <t>TN</t>
    </r>
    <r>
      <rPr>
        <b/>
        <vertAlign val="subscript"/>
        <sz val="11"/>
        <color theme="1"/>
        <rFont val="Calibri"/>
        <family val="2"/>
        <scheme val="minor"/>
      </rPr>
      <t>TRAP1</t>
    </r>
  </si>
  <si>
    <r>
      <t>TN</t>
    </r>
    <r>
      <rPr>
        <b/>
        <vertAlign val="subscript"/>
        <sz val="11"/>
        <color theme="1"/>
        <rFont val="Calibri"/>
        <family val="2"/>
        <scheme val="minor"/>
      </rPr>
      <t xml:space="preserve"> TRAP 2</t>
    </r>
  </si>
  <si>
    <t>%</t>
  </si>
  <si>
    <r>
      <t>N-NH</t>
    </r>
    <r>
      <rPr>
        <b/>
        <vertAlign val="subscript"/>
        <sz val="11"/>
        <color theme="1"/>
        <rFont val="Calibri"/>
        <family val="2"/>
        <scheme val="minor"/>
      </rPr>
      <t>4</t>
    </r>
    <r>
      <rPr>
        <b/>
        <sz val="11"/>
        <color theme="1"/>
        <rFont val="Calibri"/>
        <family val="2"/>
        <scheme val="minor"/>
      </rPr>
      <t xml:space="preserve"> Removal (Anolyte) </t>
    </r>
  </si>
  <si>
    <r>
      <t>N-NH</t>
    </r>
    <r>
      <rPr>
        <b/>
        <vertAlign val="subscript"/>
        <sz val="11"/>
        <color theme="1"/>
        <rFont val="Calibri"/>
        <family val="2"/>
        <scheme val="minor"/>
      </rPr>
      <t>4</t>
    </r>
    <r>
      <rPr>
        <b/>
        <sz val="11"/>
        <color theme="1"/>
        <rFont val="Calibri"/>
        <family val="2"/>
        <scheme val="minor"/>
      </rPr>
      <t xml:space="preserve"> Recovery (acid traps) </t>
    </r>
  </si>
  <si>
    <r>
      <t>C Chamber final volume=</t>
    </r>
    <r>
      <rPr>
        <i/>
        <sz val="11"/>
        <color theme="1"/>
        <rFont val="Calibri"/>
        <family val="2"/>
        <scheme val="minor"/>
      </rPr>
      <t xml:space="preserve"> 100 ml;</t>
    </r>
    <r>
      <rPr>
        <b/>
        <i/>
        <sz val="11"/>
        <color theme="1"/>
        <rFont val="Calibri"/>
        <family val="2"/>
        <scheme val="minor"/>
      </rPr>
      <t xml:space="preserve"> Flask final volume=</t>
    </r>
    <r>
      <rPr>
        <i/>
        <sz val="11"/>
        <color theme="1"/>
        <rFont val="Calibri"/>
        <family val="2"/>
        <scheme val="minor"/>
      </rPr>
      <t>330 ml;</t>
    </r>
    <r>
      <rPr>
        <b/>
        <i/>
        <sz val="11"/>
        <color theme="1"/>
        <rFont val="Calibri"/>
        <family val="2"/>
        <scheme val="minor"/>
      </rPr>
      <t xml:space="preserve"> V</t>
    </r>
    <r>
      <rPr>
        <b/>
        <i/>
        <vertAlign val="subscript"/>
        <sz val="11"/>
        <color theme="1"/>
        <rFont val="Calibri"/>
        <family val="2"/>
        <scheme val="minor"/>
      </rPr>
      <t>0 CAT</t>
    </r>
    <r>
      <rPr>
        <b/>
        <i/>
        <sz val="11"/>
        <color theme="1"/>
        <rFont val="Calibri"/>
        <family val="2"/>
        <scheme val="minor"/>
      </rPr>
      <t>=</t>
    </r>
    <r>
      <rPr>
        <i/>
        <sz val="11"/>
        <color theme="1"/>
        <rFont val="Calibri"/>
        <family val="2"/>
        <scheme val="minor"/>
      </rPr>
      <t xml:space="preserve">170 ml; </t>
    </r>
    <r>
      <rPr>
        <b/>
        <i/>
        <sz val="11"/>
        <color theme="1"/>
        <rFont val="Calibri"/>
        <family val="2"/>
        <scheme val="minor"/>
      </rPr>
      <t>Volume loss in chamber=</t>
    </r>
    <r>
      <rPr>
        <i/>
        <sz val="11"/>
        <color theme="1"/>
        <rFont val="Calibri"/>
        <family val="2"/>
        <scheme val="minor"/>
      </rPr>
      <t>70 ml.</t>
    </r>
    <r>
      <rPr>
        <b/>
        <i/>
        <sz val="11"/>
        <color theme="1"/>
        <rFont val="Calibri"/>
        <family val="2"/>
        <scheme val="minor"/>
      </rPr>
      <t xml:space="preserve"> </t>
    </r>
    <r>
      <rPr>
        <i/>
        <sz val="11"/>
        <color theme="1"/>
        <rFont val="Calibri"/>
        <family val="2"/>
        <scheme val="minor"/>
      </rPr>
      <t>Catholyte slightly turned to blue. End of experiment</t>
    </r>
  </si>
  <si>
    <r>
      <t xml:space="preserve">C Chamber final volume= </t>
    </r>
    <r>
      <rPr>
        <sz val="11"/>
        <color theme="1"/>
        <rFont val="Calibri"/>
        <family val="2"/>
        <scheme val="minor"/>
      </rPr>
      <t xml:space="preserve">130 ml; </t>
    </r>
    <r>
      <rPr>
        <b/>
        <sz val="11"/>
        <color theme="1"/>
        <rFont val="Calibri"/>
        <family val="2"/>
        <scheme val="minor"/>
      </rPr>
      <t>Flask final volume=</t>
    </r>
    <r>
      <rPr>
        <sz val="11"/>
        <color theme="1"/>
        <rFont val="Calibri"/>
        <family val="2"/>
        <scheme val="minor"/>
      </rPr>
      <t xml:space="preserve">350 ml; </t>
    </r>
    <r>
      <rPr>
        <b/>
        <sz val="11"/>
        <color theme="1"/>
        <rFont val="Calibri"/>
        <family val="2"/>
      </rPr>
      <t>V</t>
    </r>
    <r>
      <rPr>
        <b/>
        <vertAlign val="subscript"/>
        <sz val="11"/>
        <color theme="1"/>
        <rFont val="Calibri"/>
        <family val="2"/>
      </rPr>
      <t>0cat</t>
    </r>
    <r>
      <rPr>
        <b/>
        <sz val="11"/>
        <color theme="1"/>
        <rFont val="Calibri"/>
        <family val="2"/>
      </rPr>
      <t>=</t>
    </r>
    <r>
      <rPr>
        <sz val="11"/>
        <color theme="1"/>
        <rFont val="Calibri"/>
        <family val="2"/>
      </rPr>
      <t xml:space="preserve">150 ml; </t>
    </r>
    <r>
      <rPr>
        <b/>
        <sz val="11"/>
        <color theme="1"/>
        <rFont val="Calibri"/>
        <family val="2"/>
      </rPr>
      <t>Volume loss in chamber=</t>
    </r>
    <r>
      <rPr>
        <sz val="11"/>
        <color theme="1"/>
        <rFont val="Calibri"/>
        <family val="2"/>
      </rPr>
      <t xml:space="preserve">20 ml. </t>
    </r>
    <r>
      <rPr>
        <i/>
        <sz val="11"/>
        <color theme="1"/>
        <rFont val="Calibri"/>
        <family val="2"/>
      </rPr>
      <t>End of experiment</t>
    </r>
  </si>
  <si>
    <r>
      <t>(N-NH</t>
    </r>
    <r>
      <rPr>
        <b/>
        <vertAlign val="subscript"/>
        <sz val="11"/>
        <rFont val="Calibri"/>
        <family val="2"/>
        <scheme val="minor"/>
      </rPr>
      <t xml:space="preserve">4 F </t>
    </r>
    <r>
      <rPr>
        <b/>
        <sz val="11"/>
        <rFont val="Calibri"/>
        <family val="2"/>
        <scheme val="minor"/>
      </rPr>
      <t>) -(N-NH</t>
    </r>
    <r>
      <rPr>
        <b/>
        <vertAlign val="subscript"/>
        <sz val="11"/>
        <rFont val="Calibri"/>
        <family val="2"/>
        <scheme val="minor"/>
      </rPr>
      <t>4 0</t>
    </r>
    <r>
      <rPr>
        <b/>
        <sz val="11"/>
        <rFont val="Calibri"/>
        <family val="2"/>
        <scheme val="minor"/>
      </rPr>
      <t xml:space="preserve">) </t>
    </r>
  </si>
  <si>
    <r>
      <t>N</t>
    </r>
    <r>
      <rPr>
        <b/>
        <vertAlign val="subscript"/>
        <sz val="11"/>
        <rFont val="Calibri"/>
        <family val="2"/>
        <scheme val="minor"/>
      </rPr>
      <t>F</t>
    </r>
    <r>
      <rPr>
        <b/>
        <sz val="11"/>
        <rFont val="Calibri"/>
        <family val="2"/>
        <scheme val="minor"/>
      </rPr>
      <t>-N</t>
    </r>
    <r>
      <rPr>
        <b/>
        <vertAlign val="subscript"/>
        <sz val="11"/>
        <rFont val="Calibri"/>
        <family val="2"/>
        <scheme val="minor"/>
      </rPr>
      <t>0</t>
    </r>
  </si>
  <si>
    <t>End of experiment</t>
  </si>
  <si>
    <t>Balance</t>
  </si>
  <si>
    <r>
      <t>Teorethical COD</t>
    </r>
    <r>
      <rPr>
        <b/>
        <vertAlign val="subscript"/>
        <sz val="11"/>
        <color theme="1"/>
        <rFont val="Calibri"/>
        <family val="2"/>
        <scheme val="minor"/>
      </rPr>
      <t>0</t>
    </r>
    <r>
      <rPr>
        <b/>
        <sz val="11"/>
        <color theme="1"/>
        <rFont val="Calibri"/>
        <family val="2"/>
        <scheme val="minor"/>
      </rPr>
      <t xml:space="preserve"> addition (4 extra g of acetate)(mg/L)=</t>
    </r>
  </si>
  <si>
    <t>kg/m3·d</t>
  </si>
  <si>
    <t>Kg/m3·d</t>
  </si>
  <si>
    <r>
      <t>Teorethical COD</t>
    </r>
    <r>
      <rPr>
        <b/>
        <vertAlign val="subscript"/>
        <sz val="11"/>
        <color theme="1"/>
        <rFont val="Calibri"/>
        <family val="2"/>
        <scheme val="minor"/>
      </rPr>
      <t>0</t>
    </r>
    <r>
      <rPr>
        <b/>
        <sz val="11"/>
        <color theme="1"/>
        <rFont val="Calibri"/>
        <family val="2"/>
        <scheme val="minor"/>
      </rPr>
      <t xml:space="preserve"> addition (3 extra g of acetate)(mg/L)=</t>
    </r>
  </si>
  <si>
    <r>
      <t>Anolyte Sample volume</t>
    </r>
    <r>
      <rPr>
        <i/>
        <sz val="11"/>
        <color theme="1"/>
        <rFont val="Calibri"/>
        <family val="2"/>
        <scheme val="minor"/>
      </rPr>
      <t xml:space="preserve">=20 ml. </t>
    </r>
  </si>
  <si>
    <t>OCV</t>
  </si>
  <si>
    <t>Anolyte N concentration evolution</t>
  </si>
  <si>
    <t>C2</t>
  </si>
  <si>
    <t xml:space="preserve">C1 </t>
  </si>
  <si>
    <t>Chossen experiments: MEC C1_9 and C2_10; MFC 14 both cases</t>
  </si>
  <si>
    <r>
      <rPr>
        <b/>
        <sz val="11"/>
        <color theme="1"/>
        <rFont val="Calibri"/>
        <family val="2"/>
        <scheme val="minor"/>
      </rPr>
      <t>MEC</t>
    </r>
    <r>
      <rPr>
        <sz val="11"/>
        <color theme="1"/>
        <rFont val="Calibri"/>
        <family val="2"/>
        <scheme val="minor"/>
      </rPr>
      <t xml:space="preserve"> OPERATION MODE</t>
    </r>
  </si>
  <si>
    <r>
      <rPr>
        <b/>
        <sz val="11"/>
        <color theme="1"/>
        <rFont val="Calibri"/>
        <family val="2"/>
        <scheme val="minor"/>
      </rPr>
      <t>MFC</t>
    </r>
    <r>
      <rPr>
        <sz val="11"/>
        <color theme="1"/>
        <rFont val="Calibri"/>
        <family val="2"/>
        <scheme val="minor"/>
      </rPr>
      <t xml:space="preserve"> OPERATION MODE</t>
    </r>
  </si>
  <si>
    <t>88+Acetato</t>
  </si>
  <si>
    <t>88+acetato</t>
  </si>
  <si>
    <t>48+Acetato</t>
  </si>
  <si>
    <r>
      <rPr>
        <b/>
        <i/>
        <sz val="11"/>
        <color theme="1"/>
        <rFont val="Calibri"/>
        <family val="2"/>
        <scheme val="minor"/>
      </rPr>
      <t>Anolyte Sample volume</t>
    </r>
    <r>
      <rPr>
        <i/>
        <sz val="11"/>
        <color theme="1"/>
        <rFont val="Calibri"/>
        <family val="2"/>
        <scheme val="minor"/>
      </rPr>
      <t xml:space="preserve">=20 ml. </t>
    </r>
  </si>
  <si>
    <r>
      <t>Teorethical COD</t>
    </r>
    <r>
      <rPr>
        <b/>
        <vertAlign val="subscript"/>
        <sz val="11"/>
        <color theme="1"/>
        <rFont val="Calibri"/>
        <family val="2"/>
        <scheme val="minor"/>
      </rPr>
      <t>0</t>
    </r>
    <r>
      <rPr>
        <b/>
        <sz val="11"/>
        <color theme="1"/>
        <rFont val="Calibri"/>
        <family val="2"/>
        <scheme val="minor"/>
      </rPr>
      <t xml:space="preserve"> addition (5 extra g of acetate)(mg/L)=</t>
    </r>
  </si>
  <si>
    <t>48+acetato</t>
  </si>
  <si>
    <t>N related samples</t>
  </si>
  <si>
    <r>
      <t>g/m</t>
    </r>
    <r>
      <rPr>
        <i/>
        <vertAlign val="superscript"/>
        <sz val="11"/>
        <color theme="1"/>
        <rFont val="Calibri"/>
        <family val="2"/>
        <scheme val="minor"/>
      </rPr>
      <t>2</t>
    </r>
    <r>
      <rPr>
        <i/>
        <sz val="11"/>
        <color theme="1"/>
        <rFont val="Calibri"/>
        <family val="2"/>
        <scheme val="minor"/>
      </rPr>
      <t>·d</t>
    </r>
  </si>
  <si>
    <t>Current Avg.</t>
  </si>
  <si>
    <t>COD Consumption</t>
  </si>
  <si>
    <t>COD consumption</t>
  </si>
  <si>
    <t>g_COD/g_acetate</t>
  </si>
  <si>
    <t xml:space="preserve">Anolyte Sample volume=20 ml. </t>
  </si>
  <si>
    <r>
      <rPr>
        <b/>
        <sz val="11"/>
        <color theme="1"/>
        <rFont val="Calibri"/>
        <family val="2"/>
        <scheme val="minor"/>
      </rPr>
      <t>OCV</t>
    </r>
    <r>
      <rPr>
        <sz val="11"/>
        <color theme="1"/>
        <rFont val="Calibri"/>
        <family val="2"/>
        <scheme val="minor"/>
      </rPr>
      <t xml:space="preserve"> OPERATION MODE</t>
    </r>
  </si>
  <si>
    <t>BLACK WATER FEEDING</t>
  </si>
  <si>
    <t>MEC mode</t>
  </si>
  <si>
    <t>MFC mode</t>
  </si>
  <si>
    <t>NR test</t>
  </si>
  <si>
    <t>Current vs operation mode</t>
  </si>
  <si>
    <t>Ammonium removal vs operation mode</t>
  </si>
  <si>
    <t>Ammonium recovery vs operation mode</t>
  </si>
  <si>
    <t>OCV mode</t>
  </si>
  <si>
    <t>OPERATION</t>
  </si>
  <si>
    <t>I (mA/cm2)</t>
  </si>
  <si>
    <t>(g-N/m2/d)</t>
  </si>
  <si>
    <t>black water</t>
  </si>
  <si>
    <t>Anolyte Sample volume=20 ml.</t>
  </si>
  <si>
    <t>CODexp</t>
  </si>
  <si>
    <t>MEC</t>
  </si>
  <si>
    <t>MFC</t>
  </si>
  <si>
    <t>BW</t>
  </si>
  <si>
    <t>mode</t>
  </si>
  <si>
    <t>k</t>
  </si>
  <si>
    <t>kg/m2·d</t>
  </si>
  <si>
    <t>experiments not taken into account</t>
  </si>
  <si>
    <t>experiments using H2SO4 1M as acid trap</t>
  </si>
  <si>
    <t>96+acetato</t>
  </si>
  <si>
    <t>24+acetato</t>
  </si>
  <si>
    <t>COD calculation</t>
  </si>
  <si>
    <r>
      <t>Nf-N</t>
    </r>
    <r>
      <rPr>
        <b/>
        <vertAlign val="subscript"/>
        <sz val="11"/>
        <rFont val="Calibri"/>
        <family val="2"/>
        <scheme val="minor"/>
      </rPr>
      <t>0</t>
    </r>
  </si>
  <si>
    <t>25,5+acetato</t>
  </si>
  <si>
    <t>Migration</t>
  </si>
  <si>
    <t>N removal (anolyte)</t>
  </si>
  <si>
    <t>Code</t>
  </si>
  <si>
    <t>Cell number</t>
  </si>
  <si>
    <t>Operation mode</t>
  </si>
  <si>
    <t>Applied voltage</t>
  </si>
  <si>
    <t>N recovery (gas trap)</t>
  </si>
  <si>
    <t>Gas trap</t>
  </si>
  <si>
    <t>NR9</t>
  </si>
  <si>
    <t>NR10</t>
  </si>
  <si>
    <t>NR11</t>
  </si>
  <si>
    <t>NR12</t>
  </si>
  <si>
    <t>NR13</t>
  </si>
  <si>
    <t>C1</t>
  </si>
  <si>
    <t>Synthetic acetate medium + 3 gr. of acetate (1 L. of solution)</t>
  </si>
  <si>
    <t>Bottle x 2 with diffuser, filled with H2SO4 0,1 M (Volume of each bottle= 0.5 L.)</t>
  </si>
  <si>
    <t>Saline solution with k similar to anolyte's k and pH around 7.5 (0.5 L of solution)</t>
  </si>
  <si>
    <t>0.2 V</t>
  </si>
  <si>
    <t>NH4+ Migration</t>
  </si>
  <si>
    <t>Ratio Na/NH4+</t>
  </si>
  <si>
    <t>Current Avg (mA)</t>
  </si>
  <si>
    <t>No data available</t>
  </si>
  <si>
    <t>Synthetic acetate medium + 4 gr. of acetate (1 L. of solution)</t>
  </si>
  <si>
    <t xml:space="preserve"> End of experiment</t>
  </si>
  <si>
    <t>(-0.1 V )</t>
  </si>
  <si>
    <t>NR14</t>
  </si>
  <si>
    <t>NR15</t>
  </si>
  <si>
    <t>Bottle x 2 with NO diffuser, filled with H2SO4 0,1 M (Volume of each bottle= 0.5 L.)</t>
  </si>
  <si>
    <t>NR16</t>
  </si>
  <si>
    <t>Acid trap column (only one trap with a volume of 300 ml of H2SO4 0,1 M)</t>
  </si>
  <si>
    <t>NR17</t>
  </si>
  <si>
    <t>Black water + 5 gr. of acetate (1 L. of solution)</t>
  </si>
  <si>
    <t>NR18</t>
  </si>
  <si>
    <t>Black water + 5 gr. of acetate (2 L. of solution)</t>
  </si>
  <si>
    <t>Saline solution with k similar to anolyte's k and pH around 7.5 (1 L of solution)</t>
  </si>
  <si>
    <t>Acid trap column (only one trap with a volume of 325 ml of H2SO4 0,1 M)</t>
  </si>
  <si>
    <t>NR20</t>
  </si>
  <si>
    <t>Synthetic acetate medium + 1 gr. of acetate (1 L. of solution)</t>
  </si>
  <si>
    <t>Bottle x 1 with diffuser, filled with HNO3 0,1 M (Volume of each bottle= 0.5 L.)</t>
  </si>
  <si>
    <t>NR19</t>
  </si>
  <si>
    <t>Synthetic acetate medium + 6.5 gr. of acetate (1 L. of solution)</t>
  </si>
  <si>
    <t>Bottle x 2 with diffuser, filled with HNO3 0,1 M (Volume of each bottle= 0.5 L.)</t>
  </si>
  <si>
    <t>NR21</t>
  </si>
  <si>
    <t>NR22</t>
  </si>
  <si>
    <t>Saline solution with k similar to anolyte's k and pH around 12 (0.5 L of solution)</t>
  </si>
  <si>
    <t>Synthetic acetate medium + 5 gr. of acetate (1 L. of solution)</t>
  </si>
  <si>
    <t>Saline solution with k similar to anolyte's k, pH around 12 and t=40º C (0.5 L of solution)</t>
  </si>
  <si>
    <t>op_1</t>
  </si>
  <si>
    <t>Anolyte Sample volume=20 ml. Adition of 3 gr. of sodium acetate for DQO maintenance</t>
  </si>
  <si>
    <t>Anolyte Sample volume=20 ml. End of experiment</t>
  </si>
  <si>
    <t>Anolyte Sample volume=20 ml. Adition of 4 gr. of sodium acetate for DQO maintenance</t>
  </si>
  <si>
    <t>Anolyte Sample volume=20 ml. Adition of 1 gr. of sodium acetate for DQO maintenance</t>
  </si>
  <si>
    <t>Anolyte Sample volume=20 ml. Adition of 1 gr. of sodium acetate 24 hrs after the experiment began (DQO maintenance). No sample taken at this time</t>
  </si>
  <si>
    <t>Anolyte Sample volume=20 ml. Adition of 5 gr. of sodium acetate for DQO maintenance</t>
  </si>
  <si>
    <t>Anolyte Sample volume=20 ml. Addition of 1 g of sodium acetate</t>
  </si>
  <si>
    <t>Anolyte Sample volume=20 ml. Addition of 3 g of sodium acetate</t>
  </si>
  <si>
    <t>Anolyte Sample volume=20 ml. Addition of 2,5 g of sodium acetate</t>
  </si>
  <si>
    <t>Anolyte Sample volume=20 ml. Addition of 4 g of sodium acetate</t>
  </si>
  <si>
    <t>op_2</t>
  </si>
  <si>
    <t>Anolyte Sample volume=20 ml. Adition of 1 gr. of sodium acetate after 24 hrs. The experiment began (DQO maintenance). No sample taken at this time</t>
  </si>
  <si>
    <t>op_3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</si>
</sst>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
  </numFmts>
  <fonts count="21" x14ac:knownFonts="1">
    <font>
      <sz val="11"/>
      <color theme="1"/>
      <name val="Calibri"/>
      <family val="2"/>
      <scheme val="minor"/>
    </font>
    <font>
      <b/>
      <sz val="11"/>
      <color theme="1"/>
      <name val="Calibri"/>
      <family val="2"/>
      <scheme val="minor"/>
    </font>
    <font>
      <sz val="11"/>
      <name val="Calibri"/>
      <family val="2"/>
      <scheme val="minor"/>
    </font>
    <font>
      <i/>
      <sz val="11"/>
      <color theme="1"/>
      <name val="Calibri"/>
      <family val="2"/>
      <scheme val="minor"/>
    </font>
    <font>
      <b/>
      <i/>
      <sz val="11"/>
      <color theme="1"/>
      <name val="Calibri"/>
      <family val="2"/>
      <scheme val="minor"/>
    </font>
    <font>
      <sz val="11"/>
      <color rgb="FFFF0000"/>
      <name val="Calibri"/>
      <family val="2"/>
      <scheme val="minor"/>
    </font>
    <font>
      <b/>
      <vertAlign val="subscript"/>
      <sz val="11"/>
      <color theme="1"/>
      <name val="Calibri"/>
      <family val="2"/>
      <scheme val="minor"/>
    </font>
    <font>
      <b/>
      <sz val="11"/>
      <name val="Calibri"/>
      <family val="2"/>
      <scheme val="minor"/>
    </font>
    <font>
      <sz val="9"/>
      <color indexed="81"/>
      <name val="Tahoma"/>
      <family val="2"/>
    </font>
    <font>
      <b/>
      <sz val="9"/>
      <color indexed="81"/>
      <name val="Tahoma"/>
      <family val="2"/>
    </font>
    <font>
      <b/>
      <sz val="11"/>
      <color theme="1"/>
      <name val="Calibri"/>
      <family val="2"/>
    </font>
    <font>
      <sz val="11"/>
      <color theme="1"/>
      <name val="Calibri"/>
      <family val="2"/>
    </font>
    <font>
      <i/>
      <sz val="11"/>
      <color theme="1"/>
      <name val="Calibri"/>
      <family val="2"/>
    </font>
    <font>
      <sz val="11"/>
      <color rgb="FFC00000"/>
      <name val="Calibri"/>
      <family val="2"/>
      <scheme val="minor"/>
    </font>
    <font>
      <sz val="11"/>
      <color theme="1"/>
      <name val="Calibri"/>
      <family val="2"/>
      <scheme val="minor"/>
    </font>
    <font>
      <b/>
      <vertAlign val="subscript"/>
      <sz val="11"/>
      <name val="Calibri"/>
      <family val="2"/>
      <scheme val="minor"/>
    </font>
    <font>
      <i/>
      <sz val="11"/>
      <name val="Calibri"/>
      <family val="2"/>
      <scheme val="minor"/>
    </font>
    <font>
      <b/>
      <i/>
      <vertAlign val="subscript"/>
      <sz val="11"/>
      <color theme="1"/>
      <name val="Calibri"/>
      <family val="2"/>
      <scheme val="minor"/>
    </font>
    <font>
      <b/>
      <vertAlign val="subscript"/>
      <sz val="11"/>
      <color theme="1"/>
      <name val="Calibri"/>
      <family val="2"/>
    </font>
    <font>
      <i/>
      <sz val="11"/>
      <color rgb="FFFF0000"/>
      <name val="Calibri"/>
      <family val="2"/>
      <scheme val="minor"/>
    </font>
    <font>
      <i/>
      <vertAlign val="superscript"/>
      <sz val="11"/>
      <color theme="1"/>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59999389629810485"/>
        <bgColor indexed="64"/>
      </patternFill>
    </fill>
  </fills>
  <borders count="319">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diagonalUp="1">
      <left style="thin">
        <color indexed="64"/>
      </left>
      <right style="thin">
        <color indexed="64"/>
      </right>
      <top/>
      <bottom style="thin">
        <color indexed="64"/>
      </bottom>
      <diagonal style="thin">
        <color indexed="64"/>
      </diagonal>
    </border>
    <border diagonalUp="1">
      <left style="medium">
        <color indexed="64"/>
      </left>
      <right style="thin">
        <color indexed="64"/>
      </right>
      <top/>
      <bottom style="thin">
        <color indexed="64"/>
      </bottom>
      <diagonal style="thin">
        <color indexed="64"/>
      </diagonal>
    </border>
    <border diagonalUp="1">
      <left style="thin">
        <color indexed="64"/>
      </left>
      <right style="medium">
        <color indexed="64"/>
      </right>
      <top/>
      <bottom style="thin">
        <color indexed="64"/>
      </bottom>
      <diagonal style="thin">
        <color indexed="64"/>
      </diagonal>
    </border>
    <border diagonalUp="1">
      <left style="medium">
        <color indexed="64"/>
      </left>
      <right style="thin">
        <color indexed="64"/>
      </right>
      <top style="thin">
        <color indexed="64"/>
      </top>
      <bottom style="thin">
        <color indexed="64"/>
      </bottom>
      <diagonal style="thin">
        <color indexed="64"/>
      </diagonal>
    </border>
    <border diagonalUp="1">
      <left style="thin">
        <color indexed="64"/>
      </left>
      <right style="medium">
        <color indexed="64"/>
      </right>
      <top style="thin">
        <color indexed="64"/>
      </top>
      <bottom style="thin">
        <color indexed="64"/>
      </bottom>
      <diagonal style="thin">
        <color indexed="64"/>
      </diagonal>
    </border>
    <border diagonalUp="1">
      <left style="medium">
        <color indexed="64"/>
      </left>
      <right style="medium">
        <color indexed="64"/>
      </right>
      <top style="thin">
        <color indexed="64"/>
      </top>
      <bottom style="thin">
        <color indexed="64"/>
      </bottom>
      <diagonal style="thin">
        <color indexed="64"/>
      </diagonal>
    </border>
    <border diagonalUp="1">
      <left style="thin">
        <color indexed="64"/>
      </left>
      <right/>
      <top style="thin">
        <color indexed="64"/>
      </top>
      <bottom style="thin">
        <color indexed="64"/>
      </bottom>
      <diagonal style="thin">
        <color indexed="64"/>
      </diagonal>
    </border>
    <border>
      <left style="medium">
        <color indexed="64"/>
      </left>
      <right/>
      <top/>
      <bottom style="double">
        <color indexed="64"/>
      </bottom>
      <diagonal/>
    </border>
    <border diagonalUp="1">
      <left style="thin">
        <color indexed="64"/>
      </left>
      <right/>
      <top/>
      <bottom style="thin">
        <color indexed="64"/>
      </bottom>
      <diagonal style="thin">
        <color indexed="64"/>
      </diagonal>
    </border>
    <border diagonalUp="1">
      <left style="medium">
        <color indexed="64"/>
      </left>
      <right style="medium">
        <color indexed="64"/>
      </right>
      <top/>
      <bottom style="thin">
        <color indexed="64"/>
      </bottom>
      <diagonal style="thin">
        <color indexed="64"/>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right/>
      <top/>
      <bottom style="double">
        <color indexed="64"/>
      </bottom>
      <diagonal/>
    </border>
    <border>
      <left style="medium">
        <color indexed="64"/>
      </left>
      <right style="thin">
        <color indexed="64"/>
      </right>
      <top/>
      <bottom style="double">
        <color indexed="64"/>
      </bottom>
      <diagonal/>
    </border>
    <border>
      <left style="thin">
        <color indexed="64"/>
      </left>
      <right/>
      <top/>
      <bottom style="thin">
        <color indexed="64"/>
      </bottom>
      <diagonal/>
    </border>
    <border diagonalUp="1">
      <left style="medium">
        <color indexed="64"/>
      </left>
      <right style="thin">
        <color indexed="64"/>
      </right>
      <top style="thin">
        <color indexed="64"/>
      </top>
      <bottom style="double">
        <color indexed="64"/>
      </bottom>
      <diagonal style="thin">
        <color indexed="64"/>
      </diagonal>
    </border>
    <border diagonalUp="1">
      <left style="thin">
        <color indexed="64"/>
      </left>
      <right style="thin">
        <color indexed="64"/>
      </right>
      <top style="thin">
        <color indexed="64"/>
      </top>
      <bottom style="double">
        <color indexed="64"/>
      </bottom>
      <diagonal style="thin">
        <color indexed="64"/>
      </diagonal>
    </border>
    <border diagonalUp="1">
      <left style="thin">
        <color indexed="64"/>
      </left>
      <right/>
      <top style="thin">
        <color indexed="64"/>
      </top>
      <bottom style="double">
        <color indexed="64"/>
      </bottom>
      <diagonal style="thin">
        <color indexed="64"/>
      </diagonal>
    </border>
    <border diagonalUp="1">
      <left style="thin">
        <color indexed="64"/>
      </left>
      <right style="medium">
        <color indexed="64"/>
      </right>
      <top style="thin">
        <color indexed="64"/>
      </top>
      <bottom style="double">
        <color indexed="64"/>
      </bottom>
      <diagonal style="thin">
        <color indexed="64"/>
      </diagonal>
    </border>
    <border diagonalUp="1">
      <left style="medium">
        <color indexed="64"/>
      </left>
      <right style="medium">
        <color indexed="64"/>
      </right>
      <top style="thin">
        <color indexed="64"/>
      </top>
      <bottom style="double">
        <color indexed="64"/>
      </bottom>
      <diagonal style="thin">
        <color indexed="64"/>
      </diagonal>
    </border>
    <border>
      <left style="medium">
        <color indexed="64"/>
      </left>
      <right style="thin">
        <color indexed="64"/>
      </right>
      <top style="double">
        <color indexed="64"/>
      </top>
      <bottom style="thin">
        <color indexed="64"/>
      </bottom>
      <diagonal/>
    </border>
    <border>
      <left style="thin">
        <color indexed="64"/>
      </left>
      <right style="medium">
        <color indexed="64"/>
      </right>
      <top/>
      <bottom style="double">
        <color indexed="64"/>
      </bottom>
      <diagonal/>
    </border>
    <border>
      <left/>
      <right style="medium">
        <color indexed="64"/>
      </right>
      <top/>
      <bottom style="double">
        <color indexed="64"/>
      </bottom>
      <diagonal/>
    </border>
    <border>
      <left style="medium">
        <color indexed="64"/>
      </left>
      <right style="medium">
        <color indexed="64"/>
      </right>
      <top/>
      <bottom style="double">
        <color indexed="64"/>
      </bottom>
      <diagonal/>
    </border>
    <border>
      <left style="medium">
        <color indexed="64"/>
      </left>
      <right/>
      <top style="medium">
        <color indexed="64"/>
      </top>
      <bottom/>
      <diagonal/>
    </border>
    <border>
      <left style="medium">
        <color indexed="64"/>
      </left>
      <right/>
      <top/>
      <bottom style="medium">
        <color indexed="64"/>
      </bottom>
      <diagonal/>
    </border>
    <border diagonalUp="1">
      <left style="medium">
        <color indexed="64"/>
      </left>
      <right style="thin">
        <color indexed="64"/>
      </right>
      <top/>
      <bottom style="double">
        <color indexed="64"/>
      </bottom>
      <diagonal style="thin">
        <color indexed="64"/>
      </diagonal>
    </border>
    <border diagonalUp="1">
      <left style="thin">
        <color indexed="64"/>
      </left>
      <right style="thin">
        <color indexed="64"/>
      </right>
      <top/>
      <bottom style="double">
        <color indexed="64"/>
      </bottom>
      <diagonal style="thin">
        <color indexed="64"/>
      </diagonal>
    </border>
    <border diagonalUp="1">
      <left style="thin">
        <color indexed="64"/>
      </left>
      <right style="medium">
        <color indexed="64"/>
      </right>
      <top/>
      <bottom style="double">
        <color indexed="64"/>
      </bottom>
      <diagonal style="thin">
        <color indexed="64"/>
      </diagonal>
    </border>
    <border>
      <left style="medium">
        <color indexed="64"/>
      </left>
      <right style="thin">
        <color indexed="64"/>
      </right>
      <top style="double">
        <color indexed="64"/>
      </top>
      <bottom/>
      <diagonal/>
    </border>
    <border diagonalUp="1">
      <left style="medium">
        <color indexed="64"/>
      </left>
      <right/>
      <top style="double">
        <color indexed="64"/>
      </top>
      <bottom/>
      <diagonal style="thin">
        <color indexed="64"/>
      </diagonal>
    </border>
    <border diagonalUp="1">
      <left/>
      <right/>
      <top style="double">
        <color indexed="64"/>
      </top>
      <bottom/>
      <diagonal style="thin">
        <color indexed="64"/>
      </diagonal>
    </border>
    <border diagonalUp="1">
      <left style="medium">
        <color indexed="64"/>
      </left>
      <right/>
      <top/>
      <bottom/>
      <diagonal style="thin">
        <color indexed="64"/>
      </diagonal>
    </border>
    <border diagonalUp="1">
      <left/>
      <right/>
      <top/>
      <bottom/>
      <diagonal style="thin">
        <color indexed="64"/>
      </diagonal>
    </border>
    <border diagonalUp="1">
      <left/>
      <right style="medium">
        <color indexed="64"/>
      </right>
      <top/>
      <bottom/>
      <diagonal style="thin">
        <color indexed="64"/>
      </diagonal>
    </border>
    <border diagonalUp="1">
      <left style="medium">
        <color indexed="64"/>
      </left>
      <right/>
      <top/>
      <bottom style="double">
        <color indexed="64"/>
      </bottom>
      <diagonal style="thin">
        <color indexed="64"/>
      </diagonal>
    </border>
    <border diagonalUp="1">
      <left/>
      <right/>
      <top/>
      <bottom style="double">
        <color indexed="64"/>
      </bottom>
      <diagonal style="thin">
        <color indexed="64"/>
      </diagonal>
    </border>
    <border diagonalUp="1">
      <left/>
      <right style="medium">
        <color indexed="64"/>
      </right>
      <top/>
      <bottom style="double">
        <color indexed="64"/>
      </bottom>
      <diagonal style="thin">
        <color indexed="64"/>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thin">
        <color indexed="64"/>
      </left>
      <right style="medium">
        <color indexed="64"/>
      </right>
      <top style="double">
        <color indexed="64"/>
      </top>
      <bottom/>
      <diagonal/>
    </border>
    <border>
      <left/>
      <right/>
      <top style="thin">
        <color indexed="64"/>
      </top>
      <bottom style="thin">
        <color indexed="64"/>
      </bottom>
      <diagonal/>
    </border>
    <border>
      <left style="thin">
        <color indexed="64"/>
      </left>
      <right style="medium">
        <color indexed="64"/>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indexed="64"/>
      </top>
      <bottom style="double">
        <color indexed="64"/>
      </bottom>
      <diagonal/>
    </border>
    <border>
      <left style="medium">
        <color indexed="64"/>
      </left>
      <right style="medium">
        <color indexed="64"/>
      </right>
      <top style="double">
        <color indexed="64"/>
      </top>
      <bottom style="double">
        <color indexed="64"/>
      </bottom>
      <diagonal/>
    </border>
    <border>
      <left/>
      <right style="thin">
        <color indexed="64"/>
      </right>
      <top/>
      <bottom style="double">
        <color indexed="64"/>
      </bottom>
      <diagonal/>
    </border>
    <border>
      <left style="thin">
        <color indexed="64"/>
      </left>
      <right/>
      <top/>
      <bottom/>
      <diagonal/>
    </border>
    <border diagonalUp="1">
      <left style="thin">
        <color indexed="64"/>
      </left>
      <right/>
      <top/>
      <bottom style="double">
        <color indexed="64"/>
      </bottom>
      <diagonal style="thin">
        <color indexed="64"/>
      </diagonal>
    </border>
    <border>
      <left style="medium">
        <color indexed="64"/>
      </left>
      <right/>
      <top style="double">
        <color indexed="64"/>
      </top>
      <bottom/>
      <diagonal/>
    </border>
    <border>
      <left style="medium">
        <color indexed="64"/>
      </left>
      <right/>
      <top style="thin">
        <color indexed="64"/>
      </top>
      <bottom/>
      <diagonal/>
    </border>
    <border>
      <left/>
      <right/>
      <top style="double">
        <color indexed="64"/>
      </top>
      <bottom style="double">
        <color indexed="64"/>
      </bottom>
      <diagonal/>
    </border>
    <border>
      <left style="medium">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medium">
        <color indexed="64"/>
      </left>
      <right style="medium">
        <color indexed="64"/>
      </right>
      <top style="double">
        <color indexed="64"/>
      </top>
      <bottom/>
      <diagonal/>
    </border>
    <border diagonalUp="1">
      <left style="thin">
        <color indexed="64"/>
      </left>
      <right/>
      <top style="thin">
        <color indexed="64"/>
      </top>
      <bottom/>
      <diagonal style="thin">
        <color indexed="64"/>
      </diagonal>
    </border>
    <border>
      <left style="thin">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diagonalUp="1">
      <left style="medium">
        <color indexed="64"/>
      </left>
      <right style="thin">
        <color indexed="64"/>
      </right>
      <top style="double">
        <color indexed="64"/>
      </top>
      <bottom style="thin">
        <color indexed="64"/>
      </bottom>
      <diagonal style="thin">
        <color indexed="64"/>
      </diagonal>
    </border>
    <border diagonalUp="1">
      <left style="thin">
        <color indexed="64"/>
      </left>
      <right style="thin">
        <color indexed="64"/>
      </right>
      <top style="double">
        <color indexed="64"/>
      </top>
      <bottom style="thin">
        <color indexed="64"/>
      </bottom>
      <diagonal style="thin">
        <color indexed="64"/>
      </diagonal>
    </border>
    <border diagonalUp="1">
      <left style="thin">
        <color indexed="64"/>
      </left>
      <right/>
      <top style="double">
        <color indexed="64"/>
      </top>
      <bottom style="thin">
        <color indexed="64"/>
      </bottom>
      <diagonal style="thin">
        <color indexed="64"/>
      </diagonal>
    </border>
    <border diagonalUp="1">
      <left style="thin">
        <color indexed="64"/>
      </left>
      <right style="medium">
        <color indexed="64"/>
      </right>
      <top style="double">
        <color indexed="64"/>
      </top>
      <bottom style="thin">
        <color indexed="64"/>
      </bottom>
      <diagonal style="thin">
        <color indexed="64"/>
      </diagonal>
    </border>
    <border>
      <left style="medium">
        <color indexed="64"/>
      </left>
      <right/>
      <top style="thin">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double">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double">
        <color indexed="64"/>
      </bottom>
      <diagonal/>
    </border>
    <border>
      <left/>
      <right/>
      <top style="medium">
        <color indexed="64"/>
      </top>
      <bottom style="thin">
        <color indexed="64"/>
      </bottom>
      <diagonal/>
    </border>
    <border diagonalUp="1">
      <left/>
      <right/>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top style="thin">
        <color indexed="64"/>
      </top>
      <bottom style="double">
        <color indexed="64"/>
      </bottom>
      <diagonal style="thin">
        <color indexed="64"/>
      </diagonal>
    </border>
    <border>
      <left style="thin">
        <color indexed="64"/>
      </left>
      <right style="thin">
        <color indexed="64"/>
      </right>
      <top style="double">
        <color indexed="64"/>
      </top>
      <bottom style="double">
        <color indexed="64"/>
      </bottom>
      <diagonal/>
    </border>
    <border diagonalUp="1">
      <left/>
      <right style="thin">
        <color indexed="64"/>
      </right>
      <top/>
      <bottom style="double">
        <color indexed="64"/>
      </bottom>
      <diagonal style="thin">
        <color indexed="64"/>
      </diagonal>
    </border>
    <border diagonalUp="1">
      <left style="thin">
        <color indexed="64"/>
      </left>
      <right/>
      <top style="double">
        <color indexed="64"/>
      </top>
      <bottom/>
      <diagonal style="thin">
        <color indexed="64"/>
      </diagonal>
    </border>
    <border diagonalUp="1">
      <left style="thin">
        <color indexed="64"/>
      </left>
      <right/>
      <top/>
      <bottom/>
      <diagonal style="thin">
        <color indexed="64"/>
      </diagonal>
    </border>
    <border diagonalUp="1">
      <left/>
      <right style="thin">
        <color indexed="64"/>
      </right>
      <top/>
      <bottom/>
      <diagonal style="thin">
        <color indexed="64"/>
      </diagonal>
    </border>
    <border>
      <left style="thin">
        <color indexed="64"/>
      </left>
      <right/>
      <top style="double">
        <color indexed="64"/>
      </top>
      <bottom style="double">
        <color indexed="64"/>
      </bottom>
      <diagonal/>
    </border>
    <border diagonalUp="1">
      <left style="thin">
        <color indexed="64"/>
      </left>
      <right style="thin">
        <color indexed="64"/>
      </right>
      <top/>
      <bottom/>
      <diagonal style="thin">
        <color indexed="64"/>
      </diagonal>
    </border>
    <border diagonalUp="1">
      <left style="thin">
        <color indexed="64"/>
      </left>
      <right style="medium">
        <color indexed="64"/>
      </right>
      <top/>
      <bottom/>
      <diagonal style="thin">
        <color indexed="64"/>
      </diagonal>
    </border>
    <border diagonalUp="1">
      <left style="thin">
        <color indexed="64"/>
      </left>
      <right style="thin">
        <color indexed="64"/>
      </right>
      <top style="medium">
        <color indexed="64"/>
      </top>
      <bottom style="double">
        <color indexed="64"/>
      </bottom>
      <diagonal style="thin">
        <color indexed="64"/>
      </diagonal>
    </border>
    <border diagonalUp="1">
      <left/>
      <right style="thin">
        <color indexed="64"/>
      </right>
      <top style="medium">
        <color indexed="64"/>
      </top>
      <bottom style="double">
        <color indexed="64"/>
      </bottom>
      <diagonal style="thin">
        <color indexed="64"/>
      </diagonal>
    </border>
    <border diagonalUp="1">
      <left style="medium">
        <color indexed="64"/>
      </left>
      <right style="thin">
        <color indexed="64"/>
      </right>
      <top style="medium">
        <color indexed="64"/>
      </top>
      <bottom style="double">
        <color indexed="64"/>
      </bottom>
      <diagonal style="thin">
        <color indexed="64"/>
      </diagonal>
    </border>
    <border diagonalUp="1">
      <left style="thin">
        <color indexed="64"/>
      </left>
      <right style="thin">
        <color indexed="64"/>
      </right>
      <top style="double">
        <color indexed="64"/>
      </top>
      <bottom/>
      <diagonal style="thin">
        <color indexed="64"/>
      </diagonal>
    </border>
    <border diagonalUp="1">
      <left style="thin">
        <color indexed="64"/>
      </left>
      <right style="medium">
        <color indexed="64"/>
      </right>
      <top style="medium">
        <color indexed="64"/>
      </top>
      <bottom style="double">
        <color indexed="64"/>
      </bottom>
      <diagonal style="thin">
        <color indexed="64"/>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Up="1">
      <left style="thin">
        <color indexed="64"/>
      </left>
      <right/>
      <top style="double">
        <color indexed="64"/>
      </top>
      <bottom style="double">
        <color indexed="64"/>
      </bottom>
      <diagonal style="thin">
        <color indexed="64"/>
      </diagonal>
    </border>
    <border diagonalUp="1">
      <left style="thin">
        <color indexed="64"/>
      </left>
      <right style="medium">
        <color indexed="64"/>
      </right>
      <top style="double">
        <color indexed="64"/>
      </top>
      <bottom/>
      <diagonal style="thin">
        <color indexed="64"/>
      </diagonal>
    </border>
    <border diagonalUp="1">
      <left style="thin">
        <color indexed="64"/>
      </left>
      <right style="medium">
        <color indexed="64"/>
      </right>
      <top style="thin">
        <color indexed="64"/>
      </top>
      <bottom/>
      <diagonal style="thin">
        <color indexed="64"/>
      </diagonal>
    </border>
    <border diagonalUp="1">
      <left/>
      <right style="thin">
        <color indexed="64"/>
      </right>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diagonalUp="1">
      <left/>
      <right style="thin">
        <color indexed="64"/>
      </right>
      <top style="thin">
        <color indexed="64"/>
      </top>
      <bottom style="double">
        <color indexed="64"/>
      </bottom>
      <diagonal style="thin">
        <color indexed="64"/>
      </diagonal>
    </border>
    <border>
      <left/>
      <right/>
      <top style="double">
        <color rgb="FFC00000"/>
      </top>
      <bottom/>
      <diagonal/>
    </border>
    <border>
      <left style="medium">
        <color indexed="64"/>
      </left>
      <right/>
      <top style="double">
        <color rgb="FFC00000"/>
      </top>
      <bottom style="thin">
        <color indexed="64"/>
      </bottom>
      <diagonal/>
    </border>
    <border diagonalUp="1">
      <left style="medium">
        <color indexed="64"/>
      </left>
      <right style="thin">
        <color indexed="64"/>
      </right>
      <top/>
      <bottom/>
      <diagonal style="thin">
        <color indexed="64"/>
      </diagonal>
    </border>
    <border diagonalUp="1">
      <left style="medium">
        <color indexed="64"/>
      </left>
      <right style="thin">
        <color indexed="64"/>
      </right>
      <top style="double">
        <color indexed="64"/>
      </top>
      <bottom/>
      <diagonal style="thin">
        <color indexed="64"/>
      </diagonal>
    </border>
    <border diagonalUp="1">
      <left style="medium">
        <color indexed="64"/>
      </left>
      <right style="thin">
        <color indexed="64"/>
      </right>
      <top style="thin">
        <color indexed="64"/>
      </top>
      <bottom/>
      <diagonal style="thin">
        <color indexed="64"/>
      </diagonal>
    </border>
    <border>
      <left style="thin">
        <color indexed="64"/>
      </left>
      <right style="thin">
        <color indexed="64"/>
      </right>
      <top style="thin">
        <color indexed="64"/>
      </top>
      <bottom style="double">
        <color rgb="FFFF0000"/>
      </bottom>
      <diagonal/>
    </border>
    <border>
      <left style="medium">
        <color indexed="64"/>
      </left>
      <right style="medium">
        <color indexed="64"/>
      </right>
      <top/>
      <bottom style="double">
        <color theme="1"/>
      </bottom>
      <diagonal/>
    </border>
    <border>
      <left style="medium">
        <color theme="1"/>
      </left>
      <right style="medium">
        <color theme="1"/>
      </right>
      <top style="double">
        <color theme="1"/>
      </top>
      <bottom/>
      <diagonal/>
    </border>
    <border>
      <left/>
      <right/>
      <top style="double">
        <color theme="1"/>
      </top>
      <bottom/>
      <diagonal/>
    </border>
    <border diagonalUp="1">
      <left style="medium">
        <color indexed="64"/>
      </left>
      <right style="medium">
        <color indexed="64"/>
      </right>
      <top/>
      <bottom/>
      <diagonal style="thin">
        <color indexed="64"/>
      </diagonal>
    </border>
    <border diagonalUp="1">
      <left style="medium">
        <color indexed="64"/>
      </left>
      <right style="medium">
        <color indexed="64"/>
      </right>
      <top/>
      <bottom style="double">
        <color indexed="64"/>
      </bottom>
      <diagonal style="thin">
        <color indexed="64"/>
      </diagonal>
    </border>
    <border diagonalUp="1">
      <left style="medium">
        <color indexed="64"/>
      </left>
      <right style="medium">
        <color indexed="64"/>
      </right>
      <top style="double">
        <color indexed="64"/>
      </top>
      <bottom style="thin">
        <color indexed="64"/>
      </bottom>
      <diagonal style="thin">
        <color indexed="64"/>
      </diagonal>
    </border>
    <border>
      <left style="medium">
        <color indexed="64"/>
      </left>
      <right style="medium">
        <color indexed="64"/>
      </right>
      <top style="double">
        <color indexed="64"/>
      </top>
      <bottom style="thin">
        <color indexed="64"/>
      </bottom>
      <diagonal/>
    </border>
    <border diagonalUp="1">
      <left style="medium">
        <color indexed="64"/>
      </left>
      <right style="medium">
        <color indexed="64"/>
      </right>
      <top style="double">
        <color indexed="64"/>
      </top>
      <bottom/>
      <diagonal style="thin">
        <color indexed="64"/>
      </diagonal>
    </border>
    <border diagonalUp="1">
      <left style="medium">
        <color indexed="64"/>
      </left>
      <right style="medium">
        <color indexed="64"/>
      </right>
      <top style="thin">
        <color indexed="64"/>
      </top>
      <bottom/>
      <diagonal style="thin">
        <color indexed="64"/>
      </diagonal>
    </border>
    <border>
      <left/>
      <right style="thin">
        <color indexed="64"/>
      </right>
      <top style="double">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rgb="FF92D050"/>
      </right>
      <top style="thin">
        <color indexed="64"/>
      </top>
      <bottom style="double">
        <color indexed="64"/>
      </bottom>
      <diagonal/>
    </border>
    <border>
      <left/>
      <right style="medium">
        <color indexed="64"/>
      </right>
      <top style="thin">
        <color indexed="64"/>
      </top>
      <bottom style="double">
        <color indexed="64"/>
      </bottom>
      <diagonal/>
    </border>
    <border>
      <left/>
      <right style="thin">
        <color indexed="64"/>
      </right>
      <top/>
      <bottom style="double">
        <color rgb="FF00B0F0"/>
      </bottom>
      <diagonal/>
    </border>
    <border>
      <left style="thin">
        <color indexed="64"/>
      </left>
      <right style="medium">
        <color indexed="64"/>
      </right>
      <top style="thin">
        <color indexed="64"/>
      </top>
      <bottom style="double">
        <color rgb="FF00B0F0"/>
      </bottom>
      <diagonal/>
    </border>
    <border>
      <left/>
      <right style="thin">
        <color indexed="64"/>
      </right>
      <top style="thin">
        <color indexed="64"/>
      </top>
      <bottom style="double">
        <color rgb="FF00B0F0"/>
      </bottom>
      <diagonal/>
    </border>
    <border>
      <left style="thin">
        <color indexed="64"/>
      </left>
      <right style="thin">
        <color indexed="64"/>
      </right>
      <top style="thin">
        <color indexed="64"/>
      </top>
      <bottom style="double">
        <color rgb="FF00B0F0"/>
      </bottom>
      <diagonal/>
    </border>
    <border>
      <left style="thin">
        <color indexed="64"/>
      </left>
      <right/>
      <top style="thin">
        <color indexed="64"/>
      </top>
      <bottom style="double">
        <color rgb="FF00B0F0"/>
      </bottom>
      <diagonal/>
    </border>
    <border>
      <left/>
      <right/>
      <top style="thin">
        <color indexed="64"/>
      </top>
      <bottom style="double">
        <color rgb="FF00B0F0"/>
      </bottom>
      <diagonal/>
    </border>
    <border diagonalUp="1">
      <left style="medium">
        <color indexed="64"/>
      </left>
      <right style="thin">
        <color indexed="64"/>
      </right>
      <top style="thin">
        <color indexed="64"/>
      </top>
      <bottom style="double">
        <color rgb="FF00B0F0"/>
      </bottom>
      <diagonal style="thin">
        <color indexed="64"/>
      </diagonal>
    </border>
    <border diagonalUp="1">
      <left style="thin">
        <color indexed="64"/>
      </left>
      <right style="thin">
        <color indexed="64"/>
      </right>
      <top style="thin">
        <color indexed="64"/>
      </top>
      <bottom style="double">
        <color rgb="FF00B0F0"/>
      </bottom>
      <diagonal style="thin">
        <color indexed="64"/>
      </diagonal>
    </border>
    <border diagonalUp="1">
      <left/>
      <right style="thin">
        <color indexed="64"/>
      </right>
      <top style="thin">
        <color indexed="64"/>
      </top>
      <bottom style="double">
        <color rgb="FF00B0F0"/>
      </bottom>
      <diagonal style="thin">
        <color indexed="64"/>
      </diagonal>
    </border>
    <border>
      <left style="medium">
        <color indexed="64"/>
      </left>
      <right style="thin">
        <color indexed="64"/>
      </right>
      <top style="thin">
        <color indexed="64"/>
      </top>
      <bottom style="double">
        <color rgb="FF00B0F0"/>
      </bottom>
      <diagonal/>
    </border>
    <border>
      <left style="medium">
        <color indexed="64"/>
      </left>
      <right style="medium">
        <color indexed="64"/>
      </right>
      <top/>
      <bottom style="double">
        <color rgb="FF00B0F0"/>
      </bottom>
      <diagonal/>
    </border>
    <border>
      <left style="medium">
        <color indexed="64"/>
      </left>
      <right/>
      <top style="thin">
        <color indexed="64"/>
      </top>
      <bottom style="double">
        <color rgb="FF00B0F0"/>
      </bottom>
      <diagonal/>
    </border>
    <border>
      <left/>
      <right/>
      <top/>
      <bottom style="double">
        <color rgb="FF00B0F0"/>
      </bottom>
      <diagonal/>
    </border>
    <border>
      <left/>
      <right/>
      <top/>
      <bottom style="double">
        <color rgb="FFFF0000"/>
      </bottom>
      <diagonal/>
    </border>
    <border>
      <left style="medium">
        <color indexed="64"/>
      </left>
      <right style="thin">
        <color indexed="64"/>
      </right>
      <top style="thin">
        <color indexed="64"/>
      </top>
      <bottom style="double">
        <color rgb="FFFF0000"/>
      </bottom>
      <diagonal/>
    </border>
    <border>
      <left/>
      <right style="thin">
        <color indexed="64"/>
      </right>
      <top/>
      <bottom style="double">
        <color rgb="FFFF0000"/>
      </bottom>
      <diagonal/>
    </border>
    <border>
      <left style="thin">
        <color indexed="64"/>
      </left>
      <right style="medium">
        <color indexed="64"/>
      </right>
      <top style="thin">
        <color indexed="64"/>
      </top>
      <bottom style="double">
        <color rgb="FFFF0000"/>
      </bottom>
      <diagonal/>
    </border>
    <border>
      <left/>
      <right style="thin">
        <color indexed="64"/>
      </right>
      <top style="thin">
        <color indexed="64"/>
      </top>
      <bottom style="double">
        <color rgb="FFFF0000"/>
      </bottom>
      <diagonal/>
    </border>
    <border>
      <left style="thin">
        <color indexed="64"/>
      </left>
      <right/>
      <top style="thin">
        <color indexed="64"/>
      </top>
      <bottom style="double">
        <color rgb="FFFF0000"/>
      </bottom>
      <diagonal/>
    </border>
    <border>
      <left/>
      <right/>
      <top style="thin">
        <color indexed="64"/>
      </top>
      <bottom style="double">
        <color rgb="FFFF0000"/>
      </bottom>
      <diagonal/>
    </border>
    <border>
      <left style="medium">
        <color indexed="64"/>
      </left>
      <right/>
      <top style="thin">
        <color indexed="64"/>
      </top>
      <bottom style="double">
        <color rgb="FFFF0000"/>
      </bottom>
      <diagonal/>
    </border>
    <border>
      <left style="medium">
        <color indexed="64"/>
      </left>
      <right/>
      <top/>
      <bottom style="double">
        <color rgb="FFFF0000"/>
      </bottom>
      <diagonal/>
    </border>
    <border>
      <left style="medium">
        <color theme="1"/>
      </left>
      <right style="medium">
        <color theme="1"/>
      </right>
      <top style="medium">
        <color theme="1"/>
      </top>
      <bottom style="thin">
        <color indexed="64"/>
      </bottom>
      <diagonal/>
    </border>
    <border>
      <left style="medium">
        <color theme="1"/>
      </left>
      <right style="medium">
        <color theme="1"/>
      </right>
      <top/>
      <bottom style="thin">
        <color indexed="64"/>
      </bottom>
      <diagonal/>
    </border>
    <border>
      <left style="medium">
        <color theme="1"/>
      </left>
      <right style="medium">
        <color theme="1"/>
      </right>
      <top style="thin">
        <color indexed="64"/>
      </top>
      <bottom style="medium">
        <color theme="1"/>
      </bottom>
      <diagonal/>
    </border>
    <border>
      <left style="medium">
        <color indexed="64"/>
      </left>
      <right style="medium">
        <color indexed="64"/>
      </right>
      <top style="thin">
        <color indexed="64"/>
      </top>
      <bottom style="double">
        <color theme="1"/>
      </bottom>
      <diagonal/>
    </border>
    <border>
      <left style="medium">
        <color theme="1"/>
      </left>
      <right style="medium">
        <color theme="1"/>
      </right>
      <top style="thin">
        <color indexed="64"/>
      </top>
      <bottom style="double">
        <color rgb="FFFF0000"/>
      </bottom>
      <diagonal/>
    </border>
    <border>
      <left style="medium">
        <color theme="1"/>
      </left>
      <right/>
      <top style="medium">
        <color theme="1"/>
      </top>
      <bottom style="thin">
        <color indexed="64"/>
      </bottom>
      <diagonal/>
    </border>
    <border>
      <left style="thin">
        <color indexed="64"/>
      </left>
      <right style="thin">
        <color indexed="64"/>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style="medium">
        <color theme="1"/>
      </left>
      <right/>
      <top/>
      <bottom style="thin">
        <color indexed="64"/>
      </bottom>
      <diagonal/>
    </border>
    <border>
      <left/>
      <right style="medium">
        <color theme="1"/>
      </right>
      <top/>
      <bottom style="thin">
        <color indexed="64"/>
      </bottom>
      <diagonal/>
    </border>
    <border>
      <left style="medium">
        <color indexed="64"/>
      </left>
      <right/>
      <top style="thin">
        <color indexed="64"/>
      </top>
      <bottom style="double">
        <color theme="1"/>
      </bottom>
      <diagonal/>
    </border>
    <border>
      <left style="thin">
        <color indexed="64"/>
      </left>
      <right style="thin">
        <color indexed="64"/>
      </right>
      <top style="thin">
        <color indexed="64"/>
      </top>
      <bottom style="double">
        <color theme="1"/>
      </bottom>
      <diagonal/>
    </border>
    <border>
      <left style="thin">
        <color indexed="64"/>
      </left>
      <right style="medium">
        <color indexed="64"/>
      </right>
      <top style="thin">
        <color indexed="64"/>
      </top>
      <bottom style="double">
        <color theme="1"/>
      </bottom>
      <diagonal/>
    </border>
    <border>
      <left style="medium">
        <color theme="1"/>
      </left>
      <right/>
      <top style="thin">
        <color indexed="64"/>
      </top>
      <bottom style="double">
        <color rgb="FFFF0000"/>
      </bottom>
      <diagonal/>
    </border>
    <border>
      <left style="thin">
        <color indexed="64"/>
      </left>
      <right style="medium">
        <color theme="1"/>
      </right>
      <top style="thin">
        <color indexed="64"/>
      </top>
      <bottom style="double">
        <color rgb="FFFF0000"/>
      </bottom>
      <diagonal/>
    </border>
    <border>
      <left style="thin">
        <color theme="1"/>
      </left>
      <right style="thin">
        <color theme="1"/>
      </right>
      <top style="thin">
        <color theme="1"/>
      </top>
      <bottom style="thin">
        <color theme="1"/>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theme="1"/>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thin">
        <color indexed="64"/>
      </left>
      <right/>
      <top style="medium">
        <color theme="1"/>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thin">
        <color indexed="64"/>
      </top>
      <bottom style="medium">
        <color theme="1"/>
      </bottom>
      <diagonal/>
    </border>
    <border diagonalUp="1">
      <left style="thin">
        <color theme="1"/>
      </left>
      <right style="thin">
        <color theme="1"/>
      </right>
      <top style="thin">
        <color theme="1"/>
      </top>
      <bottom style="thin">
        <color theme="1"/>
      </bottom>
      <diagonal style="thin">
        <color indexed="64"/>
      </diagonal>
    </border>
    <border>
      <left style="thin">
        <color theme="1"/>
      </left>
      <right style="thin">
        <color theme="1"/>
      </right>
      <top/>
      <bottom style="thin">
        <color theme="1"/>
      </bottom>
      <diagonal/>
    </border>
    <border>
      <left style="medium">
        <color theme="1"/>
      </left>
      <right style="thin">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right style="thin">
        <color theme="1"/>
      </right>
      <top style="thin">
        <color theme="1"/>
      </top>
      <bottom style="thin">
        <color theme="1"/>
      </bottom>
      <diagonal/>
    </border>
    <border diagonalUp="1">
      <left/>
      <right style="thin">
        <color theme="1"/>
      </right>
      <top style="thin">
        <color theme="1"/>
      </top>
      <bottom style="thin">
        <color theme="1"/>
      </bottom>
      <diagonal style="thin">
        <color indexed="64"/>
      </diagonal>
    </border>
    <border diagonalUp="1">
      <left style="thin">
        <color theme="1"/>
      </left>
      <right style="thin">
        <color theme="1"/>
      </right>
      <top/>
      <bottom style="thin">
        <color theme="1"/>
      </bottom>
      <diagonal style="thin">
        <color indexed="64"/>
      </diagonal>
    </border>
    <border diagonalUp="1">
      <left/>
      <right style="thin">
        <color theme="1"/>
      </right>
      <top/>
      <bottom style="thin">
        <color theme="1"/>
      </bottom>
      <diagonal style="thin">
        <color indexed="64"/>
      </diagonal>
    </border>
    <border>
      <left style="medium">
        <color theme="1"/>
      </left>
      <right style="thin">
        <color indexed="64"/>
      </right>
      <top style="medium">
        <color theme="1"/>
      </top>
      <bottom/>
      <diagonal/>
    </border>
    <border>
      <left/>
      <right style="thin">
        <color indexed="64"/>
      </right>
      <top style="thin">
        <color indexed="64"/>
      </top>
      <bottom style="medium">
        <color theme="1"/>
      </bottom>
      <diagonal/>
    </border>
    <border>
      <left style="thin">
        <color indexed="64"/>
      </left>
      <right style="thin">
        <color indexed="64"/>
      </right>
      <top/>
      <bottom style="double">
        <color rgb="FFFF0000"/>
      </bottom>
      <diagonal/>
    </border>
    <border diagonalUp="1">
      <left style="medium">
        <color indexed="64"/>
      </left>
      <right/>
      <top style="thin">
        <color indexed="64"/>
      </top>
      <bottom/>
      <diagonal style="thin">
        <color indexed="64"/>
      </diagonal>
    </border>
    <border diagonalUp="1">
      <left style="medium">
        <color indexed="64"/>
      </left>
      <right/>
      <top style="thin">
        <color indexed="64"/>
      </top>
      <bottom style="thin">
        <color indexed="64"/>
      </bottom>
      <diagonal style="thin">
        <color indexed="64"/>
      </diagonal>
    </border>
    <border>
      <left style="medium">
        <color theme="1"/>
      </left>
      <right/>
      <top style="thin">
        <color indexed="64"/>
      </top>
      <bottom style="double">
        <color theme="1"/>
      </bottom>
      <diagonal/>
    </border>
    <border>
      <left style="thin">
        <color indexed="64"/>
      </left>
      <right style="medium">
        <color theme="1"/>
      </right>
      <top style="thin">
        <color indexed="64"/>
      </top>
      <bottom style="double">
        <color theme="1"/>
      </bottom>
      <diagonal/>
    </border>
    <border>
      <left style="thin">
        <color theme="1"/>
      </left>
      <right style="thin">
        <color theme="1"/>
      </right>
      <top style="thin">
        <color theme="1"/>
      </top>
      <bottom/>
      <diagonal/>
    </border>
    <border diagonalUp="1">
      <left style="thin">
        <color theme="1"/>
      </left>
      <right style="thin">
        <color theme="1"/>
      </right>
      <top style="thin">
        <color theme="1"/>
      </top>
      <bottom/>
      <diagonal style="thin">
        <color indexed="64"/>
      </diagonal>
    </border>
    <border>
      <left style="medium">
        <color theme="1"/>
      </left>
      <right style="thin">
        <color indexed="64"/>
      </right>
      <top style="thin">
        <color indexed="64"/>
      </top>
      <bottom style="medium">
        <color indexed="64"/>
      </bottom>
      <diagonal/>
    </border>
    <border>
      <left style="thin">
        <color indexed="64"/>
      </left>
      <right style="medium">
        <color theme="1"/>
      </right>
      <top style="thin">
        <color indexed="64"/>
      </top>
      <bottom style="medium">
        <color indexed="64"/>
      </bottom>
      <diagonal/>
    </border>
    <border diagonalUp="1">
      <left style="medium">
        <color theme="1"/>
      </left>
      <right/>
      <top/>
      <bottom style="double">
        <color indexed="64"/>
      </bottom>
      <diagonal style="thin">
        <color indexed="64"/>
      </diagonal>
    </border>
    <border diagonalUp="1">
      <left/>
      <right style="medium">
        <color theme="1"/>
      </right>
      <top/>
      <bottom style="double">
        <color indexed="64"/>
      </bottom>
      <diagonal style="thin">
        <color indexed="64"/>
      </diagonal>
    </border>
    <border>
      <left style="medium">
        <color theme="1"/>
      </left>
      <right/>
      <top style="double">
        <color indexed="64"/>
      </top>
      <bottom style="thin">
        <color indexed="64"/>
      </bottom>
      <diagonal/>
    </border>
    <border>
      <left style="thin">
        <color indexed="64"/>
      </left>
      <right style="medium">
        <color theme="1"/>
      </right>
      <top style="double">
        <color indexed="64"/>
      </top>
      <bottom style="thin">
        <color indexed="64"/>
      </bottom>
      <diagonal/>
    </border>
    <border>
      <left style="medium">
        <color theme="1"/>
      </left>
      <right/>
      <top style="thin">
        <color indexed="64"/>
      </top>
      <bottom/>
      <diagonal/>
    </border>
    <border>
      <left style="medium">
        <color theme="1"/>
      </left>
      <right style="thin">
        <color indexed="64"/>
      </right>
      <top style="medium">
        <color theme="1"/>
      </top>
      <bottom style="thin">
        <color theme="1"/>
      </bottom>
      <diagonal/>
    </border>
    <border>
      <left/>
      <right style="thin">
        <color theme="1"/>
      </right>
      <top style="thin">
        <color theme="1"/>
      </top>
      <bottom/>
      <diagonal/>
    </border>
    <border diagonalUp="1">
      <left style="thin">
        <color indexed="64"/>
      </left>
      <right style="thin">
        <color indexed="64"/>
      </right>
      <top style="medium">
        <color indexed="64"/>
      </top>
      <bottom style="thin">
        <color indexed="64"/>
      </bottom>
      <diagonal style="thin">
        <color indexed="64"/>
      </diagonal>
    </border>
    <border diagonalUp="1">
      <left/>
      <right/>
      <top style="thin">
        <color indexed="64"/>
      </top>
      <bottom/>
      <diagonal style="thin">
        <color indexed="64"/>
      </diagonal>
    </border>
    <border diagonalUp="1">
      <left/>
      <right/>
      <top style="double">
        <color indexed="64"/>
      </top>
      <bottom style="thin">
        <color indexed="64"/>
      </bottom>
      <diagonal style="thin">
        <color indexed="64"/>
      </diagonal>
    </border>
    <border>
      <left style="medium">
        <color theme="1"/>
      </left>
      <right/>
      <top/>
      <bottom/>
      <diagonal/>
    </border>
    <border>
      <left/>
      <right style="thin">
        <color theme="1"/>
      </right>
      <top style="thin">
        <color theme="1"/>
      </top>
      <bottom style="medium">
        <color theme="1"/>
      </bottom>
      <diagonal/>
    </border>
    <border>
      <left style="thin">
        <color indexed="64"/>
      </left>
      <right/>
      <top style="thin">
        <color indexed="64"/>
      </top>
      <bottom style="double">
        <color theme="1"/>
      </bottom>
      <diagonal/>
    </border>
    <border diagonalUp="1">
      <left style="thin">
        <color indexed="64"/>
      </left>
      <right style="medium">
        <color indexed="64"/>
      </right>
      <top style="medium">
        <color indexed="64"/>
      </top>
      <bottom style="thin">
        <color indexed="64"/>
      </bottom>
      <diagonal style="thin">
        <color indexed="64"/>
      </diagonal>
    </border>
    <border diagonalUp="1">
      <left style="medium">
        <color indexed="64"/>
      </left>
      <right style="thin">
        <color indexed="64"/>
      </right>
      <top style="medium">
        <color indexed="64"/>
      </top>
      <bottom style="thin">
        <color indexed="64"/>
      </bottom>
      <diagonal style="thin">
        <color indexed="64"/>
      </diagonal>
    </border>
    <border diagonalUp="1">
      <left style="thin">
        <color indexed="64"/>
      </left>
      <right style="thin">
        <color indexed="64"/>
      </right>
      <top style="thin">
        <color indexed="64"/>
      </top>
      <bottom style="medium">
        <color indexed="64"/>
      </bottom>
      <diagonal style="thin">
        <color indexed="64"/>
      </diagonal>
    </border>
    <border diagonalUp="1">
      <left/>
      <right style="medium">
        <color indexed="64"/>
      </right>
      <top style="thin">
        <color indexed="64"/>
      </top>
      <bottom style="thin">
        <color indexed="64"/>
      </bottom>
      <diagonal style="thin">
        <color indexed="64"/>
      </diagonal>
    </border>
    <border diagonalUp="1">
      <left/>
      <right style="medium">
        <color indexed="64"/>
      </right>
      <top/>
      <bottom style="thin">
        <color indexed="64"/>
      </bottom>
      <diagonal style="thin">
        <color indexed="64"/>
      </diagonal>
    </border>
    <border diagonalUp="1">
      <left/>
      <right style="medium">
        <color indexed="64"/>
      </right>
      <top style="double">
        <color indexed="64"/>
      </top>
      <bottom style="thin">
        <color indexed="64"/>
      </bottom>
      <diagonal style="thin">
        <color indexed="64"/>
      </diagonal>
    </border>
    <border>
      <left/>
      <right style="medium">
        <color indexed="64"/>
      </right>
      <top style="double">
        <color indexed="64"/>
      </top>
      <bottom style="thin">
        <color indexed="64"/>
      </bottom>
      <diagonal/>
    </border>
    <border diagonalUp="1">
      <left/>
      <right style="medium">
        <color indexed="64"/>
      </right>
      <top style="double">
        <color indexed="64"/>
      </top>
      <bottom/>
      <diagonal style="thin">
        <color indexed="64"/>
      </diagonal>
    </border>
    <border diagonalUp="1">
      <left/>
      <right style="medium">
        <color indexed="64"/>
      </right>
      <top style="thin">
        <color indexed="64"/>
      </top>
      <bottom/>
      <diagonal style="thin">
        <color indexed="64"/>
      </diagonal>
    </border>
    <border>
      <left style="medium">
        <color indexed="64"/>
      </left>
      <right style="thin">
        <color theme="1"/>
      </right>
      <top style="medium">
        <color indexed="64"/>
      </top>
      <bottom style="thin">
        <color theme="1"/>
      </bottom>
      <diagonal/>
    </border>
    <border>
      <left style="medium">
        <color indexed="64"/>
      </left>
      <right style="thin">
        <color theme="1"/>
      </right>
      <top style="thin">
        <color theme="1"/>
      </top>
      <bottom style="double">
        <color indexed="64"/>
      </bottom>
      <diagonal/>
    </border>
    <border>
      <left style="medium">
        <color indexed="64"/>
      </left>
      <right/>
      <top style="thin">
        <color indexed="64"/>
      </top>
      <bottom style="medium">
        <color indexed="64"/>
      </bottom>
      <diagonal/>
    </border>
    <border diagonalUp="1">
      <left style="thin">
        <color indexed="64"/>
      </left>
      <right/>
      <top style="thin">
        <color indexed="64"/>
      </top>
      <bottom style="medium">
        <color indexed="64"/>
      </bottom>
      <diagonal style="thin">
        <color indexed="64"/>
      </diagonal>
    </border>
    <border diagonalUp="1">
      <left style="thin">
        <color indexed="64"/>
      </left>
      <right style="medium">
        <color indexed="64"/>
      </right>
      <top style="thin">
        <color indexed="64"/>
      </top>
      <bottom style="medium">
        <color indexed="64"/>
      </bottom>
      <diagonal style="thin">
        <color indexed="64"/>
      </diagonal>
    </border>
    <border diagonalUp="1">
      <left/>
      <right style="medium">
        <color indexed="64"/>
      </right>
      <top/>
      <bottom style="medium">
        <color indexed="64"/>
      </bottom>
      <diagonal style="thin">
        <color indexed="64"/>
      </diagonal>
    </border>
    <border>
      <left/>
      <right style="thin">
        <color theme="1"/>
      </right>
      <top/>
      <bottom style="thin">
        <color theme="1"/>
      </bottom>
      <diagonal/>
    </border>
    <border diagonalUp="1">
      <left style="medium">
        <color indexed="64"/>
      </left>
      <right style="thin">
        <color theme="1"/>
      </right>
      <top style="medium">
        <color indexed="64"/>
      </top>
      <bottom style="thin">
        <color theme="1"/>
      </bottom>
      <diagonal style="thin">
        <color indexed="64"/>
      </diagonal>
    </border>
    <border diagonalUp="1">
      <left style="thin">
        <color theme="1"/>
      </left>
      <right style="medium">
        <color indexed="64"/>
      </right>
      <top style="medium">
        <color indexed="64"/>
      </top>
      <bottom style="thin">
        <color theme="1"/>
      </bottom>
      <diagonal style="thin">
        <color indexed="64"/>
      </diagonal>
    </border>
    <border diagonalUp="1">
      <left style="medium">
        <color indexed="64"/>
      </left>
      <right style="thin">
        <color theme="1"/>
      </right>
      <top style="thin">
        <color theme="1"/>
      </top>
      <bottom style="thin">
        <color theme="1"/>
      </bottom>
      <diagonal style="thin">
        <color indexed="64"/>
      </diagonal>
    </border>
    <border diagonalUp="1">
      <left style="thin">
        <color theme="1"/>
      </left>
      <right style="medium">
        <color indexed="64"/>
      </right>
      <top style="thin">
        <color theme="1"/>
      </top>
      <bottom style="thin">
        <color theme="1"/>
      </bottom>
      <diagonal style="thin">
        <color indexed="64"/>
      </diagonal>
    </border>
    <border>
      <left style="thin">
        <color theme="1"/>
      </left>
      <right style="medium">
        <color indexed="64"/>
      </right>
      <top style="thin">
        <color theme="1"/>
      </top>
      <bottom style="double">
        <color indexed="64"/>
      </bottom>
      <diagonal/>
    </border>
    <border>
      <left style="medium">
        <color indexed="64"/>
      </left>
      <right style="thin">
        <color theme="1"/>
      </right>
      <top style="thin">
        <color theme="1"/>
      </top>
      <bottom/>
      <diagonal/>
    </border>
    <border>
      <left style="thin">
        <color theme="1"/>
      </left>
      <right style="medium">
        <color indexed="64"/>
      </right>
      <top style="thin">
        <color theme="1"/>
      </top>
      <bottom/>
      <diagonal/>
    </border>
    <border>
      <left style="thin">
        <color theme="1"/>
      </left>
      <right style="medium">
        <color indexed="64"/>
      </right>
      <top style="medium">
        <color indexed="64"/>
      </top>
      <bottom style="thin">
        <color theme="1"/>
      </bottom>
      <diagonal/>
    </border>
    <border>
      <left style="medium">
        <color indexed="64"/>
      </left>
      <right style="medium">
        <color indexed="64"/>
      </right>
      <top style="thin">
        <color indexed="64"/>
      </top>
      <bottom style="double">
        <color rgb="FF00B0F0"/>
      </bottom>
      <diagonal/>
    </border>
    <border diagonalUp="1">
      <left style="thin">
        <color indexed="64"/>
      </left>
      <right/>
      <top style="medium">
        <color indexed="64"/>
      </top>
      <bottom style="thin">
        <color indexed="64"/>
      </bottom>
      <diagonal style="thin">
        <color indexed="64"/>
      </diagonal>
    </border>
    <border>
      <left style="thin">
        <color indexed="64"/>
      </left>
      <right style="thin">
        <color theme="1"/>
      </right>
      <top style="thin">
        <color indexed="64"/>
      </top>
      <bottom style="double">
        <color indexed="64"/>
      </bottom>
      <diagonal/>
    </border>
    <border diagonalUp="1">
      <left style="thin">
        <color indexed="64"/>
      </left>
      <right style="thin">
        <color theme="1"/>
      </right>
      <top style="double">
        <color indexed="64"/>
      </top>
      <bottom style="thin">
        <color indexed="64"/>
      </bottom>
      <diagonal style="thin">
        <color indexed="64"/>
      </diagonal>
    </border>
    <border>
      <left style="thin">
        <color indexed="64"/>
      </left>
      <right style="thin">
        <color theme="1"/>
      </right>
      <top style="thin">
        <color indexed="64"/>
      </top>
      <bottom style="double">
        <color rgb="FF00B0F0"/>
      </bottom>
      <diagonal/>
    </border>
    <border diagonalUp="1">
      <left style="thin">
        <color indexed="64"/>
      </left>
      <right style="thin">
        <color theme="1"/>
      </right>
      <top/>
      <bottom style="thin">
        <color indexed="64"/>
      </bottom>
      <diagonal style="thin">
        <color indexed="64"/>
      </diagonal>
    </border>
    <border diagonalUp="1">
      <left style="thin">
        <color indexed="64"/>
      </left>
      <right style="thin">
        <color theme="1"/>
      </right>
      <top style="thin">
        <color indexed="64"/>
      </top>
      <bottom style="thin">
        <color indexed="64"/>
      </bottom>
      <diagonal style="thin">
        <color indexed="64"/>
      </diagonal>
    </border>
    <border diagonalUp="1">
      <left style="medium">
        <color theme="1"/>
      </left>
      <right style="thin">
        <color indexed="64"/>
      </right>
      <top style="medium">
        <color theme="1"/>
      </top>
      <bottom style="thin">
        <color indexed="64"/>
      </bottom>
      <diagonal style="thin">
        <color indexed="64"/>
      </diagonal>
    </border>
    <border diagonalUp="1">
      <left style="thin">
        <color indexed="64"/>
      </left>
      <right style="medium">
        <color theme="1"/>
      </right>
      <top style="medium">
        <color theme="1"/>
      </top>
      <bottom style="thin">
        <color indexed="64"/>
      </bottom>
      <diagonal style="thin">
        <color indexed="64"/>
      </diagonal>
    </border>
    <border diagonalUp="1">
      <left style="thin">
        <color indexed="64"/>
      </left>
      <right/>
      <top style="thin">
        <color indexed="64"/>
      </top>
      <bottom style="double">
        <color rgb="FF00B0F0"/>
      </bottom>
      <diagonal style="thin">
        <color indexed="64"/>
      </diagonal>
    </border>
    <border diagonalUp="1">
      <left style="thin">
        <color indexed="64"/>
      </left>
      <right style="thin">
        <color indexed="64"/>
      </right>
      <top style="medium">
        <color theme="1"/>
      </top>
      <bottom style="thin">
        <color indexed="64"/>
      </bottom>
      <diagonal style="thin">
        <color indexed="64"/>
      </diagonal>
    </border>
    <border diagonalUp="1">
      <left style="thin">
        <color indexed="64"/>
      </left>
      <right/>
      <top style="medium">
        <color theme="1"/>
      </top>
      <bottom style="thin">
        <color indexed="64"/>
      </bottom>
      <diagonal style="thin">
        <color indexed="64"/>
      </diagonal>
    </border>
    <border diagonalUp="1">
      <left style="thin">
        <color indexed="64"/>
      </left>
      <right style="thin">
        <color theme="1"/>
      </right>
      <top style="medium">
        <color theme="1"/>
      </top>
      <bottom style="thin">
        <color indexed="64"/>
      </bottom>
      <diagonal style="thin">
        <color indexed="64"/>
      </diagonal>
    </border>
    <border diagonalUp="1">
      <left/>
      <right style="medium">
        <color theme="1"/>
      </right>
      <top style="medium">
        <color theme="1"/>
      </top>
      <bottom/>
      <diagonal style="thin">
        <color indexed="64"/>
      </diagonal>
    </border>
    <border>
      <left style="medium">
        <color theme="1"/>
      </left>
      <right/>
      <top style="thin">
        <color indexed="64"/>
      </top>
      <bottom style="double">
        <color rgb="FF00B0F0"/>
      </bottom>
      <diagonal/>
    </border>
    <border>
      <left/>
      <right style="medium">
        <color theme="1"/>
      </right>
      <top style="thin">
        <color indexed="64"/>
      </top>
      <bottom style="double">
        <color rgb="FF00B0F0"/>
      </bottom>
      <diagonal/>
    </border>
    <border>
      <left style="thin">
        <color theme="1"/>
      </left>
      <right style="medium">
        <color theme="1"/>
      </right>
      <top style="thin">
        <color indexed="64"/>
      </top>
      <bottom style="double">
        <color rgb="FF00B0F0"/>
      </bottom>
      <diagonal/>
    </border>
    <border>
      <left style="medium">
        <color indexed="64"/>
      </left>
      <right style="medium">
        <color indexed="64"/>
      </right>
      <top style="thin">
        <color theme="1"/>
      </top>
      <bottom style="thin">
        <color theme="1"/>
      </bottom>
      <diagonal/>
    </border>
    <border>
      <left style="thin">
        <color indexed="64"/>
      </left>
      <right style="thin">
        <color indexed="64"/>
      </right>
      <top style="thin">
        <color indexed="64"/>
      </top>
      <bottom style="double">
        <color rgb="FF00B050"/>
      </bottom>
      <diagonal/>
    </border>
    <border>
      <left style="thin">
        <color indexed="64"/>
      </left>
      <right/>
      <top style="thin">
        <color indexed="64"/>
      </top>
      <bottom style="double">
        <color rgb="FF00B050"/>
      </bottom>
      <diagonal/>
    </border>
    <border>
      <left/>
      <right/>
      <top style="thin">
        <color indexed="64"/>
      </top>
      <bottom style="double">
        <color rgb="FF00B050"/>
      </bottom>
      <diagonal/>
    </border>
    <border>
      <left/>
      <right style="thin">
        <color indexed="64"/>
      </right>
      <top style="thin">
        <color indexed="64"/>
      </top>
      <bottom style="double">
        <color rgb="FF00B050"/>
      </bottom>
      <diagonal/>
    </border>
    <border>
      <left style="medium">
        <color indexed="64"/>
      </left>
      <right style="medium">
        <color indexed="64"/>
      </right>
      <top/>
      <bottom style="thin">
        <color theme="1"/>
      </bottom>
      <diagonal/>
    </border>
    <border>
      <left style="medium">
        <color theme="1"/>
      </left>
      <right style="medium">
        <color theme="1"/>
      </right>
      <top/>
      <bottom style="double">
        <color rgb="FF00B0F0"/>
      </bottom>
      <diagonal/>
    </border>
    <border>
      <left style="medium">
        <color theme="1"/>
      </left>
      <right style="medium">
        <color indexed="64"/>
      </right>
      <top style="thin">
        <color indexed="64"/>
      </top>
      <bottom style="double">
        <color rgb="FF00B0F0"/>
      </bottom>
      <diagonal/>
    </border>
    <border diagonalUp="1">
      <left style="thin">
        <color indexed="64"/>
      </left>
      <right style="medium">
        <color indexed="64"/>
      </right>
      <top style="thin">
        <color indexed="64"/>
      </top>
      <bottom style="double">
        <color rgb="FF00B0F0"/>
      </bottom>
      <diagonal style="thin">
        <color indexed="64"/>
      </diagonal>
    </border>
    <border>
      <left/>
      <right style="medium">
        <color indexed="64"/>
      </right>
      <top style="thin">
        <color indexed="64"/>
      </top>
      <bottom style="double">
        <color rgb="FF00B0F0"/>
      </bottom>
      <diagonal/>
    </border>
    <border>
      <left style="thin">
        <color indexed="64"/>
      </left>
      <right style="medium">
        <color indexed="64"/>
      </right>
      <top style="thin">
        <color indexed="64"/>
      </top>
      <bottom style="double">
        <color rgb="FF00B050"/>
      </bottom>
      <diagonal/>
    </border>
    <border>
      <left style="medium">
        <color indexed="64"/>
      </left>
      <right style="thin">
        <color indexed="64"/>
      </right>
      <top style="thin">
        <color indexed="64"/>
      </top>
      <bottom style="double">
        <color rgb="FF00B050"/>
      </bottom>
      <diagonal/>
    </border>
    <border>
      <left style="medium">
        <color indexed="64"/>
      </left>
      <right style="medium">
        <color indexed="64"/>
      </right>
      <top/>
      <bottom style="double">
        <color rgb="FF00B050"/>
      </bottom>
      <diagonal/>
    </border>
    <border>
      <left style="medium">
        <color indexed="64"/>
      </left>
      <right style="medium">
        <color indexed="64"/>
      </right>
      <top style="thin">
        <color indexed="64"/>
      </top>
      <bottom style="double">
        <color rgb="FF00B050"/>
      </bottom>
      <diagonal/>
    </border>
    <border>
      <left style="medium">
        <color indexed="64"/>
      </left>
      <right/>
      <top style="thin">
        <color indexed="64"/>
      </top>
      <bottom style="double">
        <color rgb="FF00B050"/>
      </bottom>
      <diagonal/>
    </border>
    <border>
      <left style="thin">
        <color indexed="64"/>
      </left>
      <right style="thin">
        <color theme="1"/>
      </right>
      <top style="thin">
        <color indexed="64"/>
      </top>
      <bottom style="double">
        <color rgb="FF00B050"/>
      </bottom>
      <diagonal/>
    </border>
    <border>
      <left/>
      <right/>
      <top style="double">
        <color indexed="64"/>
      </top>
      <bottom/>
      <diagonal/>
    </border>
    <border>
      <left/>
      <right style="thin">
        <color indexed="64"/>
      </right>
      <top/>
      <bottom style="double">
        <color rgb="FF00B050"/>
      </bottom>
      <diagonal/>
    </border>
    <border>
      <left style="thin">
        <color indexed="64"/>
      </left>
      <right style="medium">
        <color indexed="64"/>
      </right>
      <top/>
      <bottom style="double">
        <color rgb="FF00B050"/>
      </bottom>
      <diagonal/>
    </border>
    <border>
      <left style="thin">
        <color indexed="64"/>
      </left>
      <right style="thin">
        <color indexed="64"/>
      </right>
      <top/>
      <bottom style="double">
        <color rgb="FF00B050"/>
      </bottom>
      <diagonal/>
    </border>
    <border>
      <left/>
      <right/>
      <top/>
      <bottom style="double">
        <color rgb="FF00B050"/>
      </bottom>
      <diagonal/>
    </border>
    <border>
      <left/>
      <right style="medium">
        <color indexed="64"/>
      </right>
      <top style="thin">
        <color indexed="64"/>
      </top>
      <bottom style="double">
        <color rgb="FF00B050"/>
      </bottom>
      <diagonal/>
    </border>
    <border diagonalUp="1">
      <left style="medium">
        <color indexed="64"/>
      </left>
      <right style="thin">
        <color indexed="64"/>
      </right>
      <top style="double">
        <color rgb="FF00B0F0"/>
      </top>
      <bottom/>
      <diagonal style="thin">
        <color indexed="64"/>
      </diagonal>
    </border>
    <border diagonalUp="1">
      <left style="thin">
        <color indexed="64"/>
      </left>
      <right style="medium">
        <color indexed="64"/>
      </right>
      <top style="double">
        <color rgb="FF00B0F0"/>
      </top>
      <bottom/>
      <diagonal style="thin">
        <color indexed="64"/>
      </diagonal>
    </border>
  </borders>
  <cellStyleXfs count="2">
    <xf numFmtId="0" fontId="0" fillId="0" borderId="0"/>
    <xf numFmtId="9" fontId="14" fillId="0" borderId="0" applyFont="0" applyFill="0" applyBorder="0" applyAlignment="0" applyProtection="0"/>
  </cellStyleXfs>
  <cellXfs count="1199">
    <xf numFmtId="0" fontId="0" fillId="0" borderId="0" xfId="0"/>
    <xf numFmtId="0" fontId="1" fillId="0" borderId="0" xfId="0" applyFont="1"/>
    <xf numFmtId="0" fontId="3" fillId="0" borderId="0" xfId="0" applyFont="1"/>
    <xf numFmtId="0" fontId="1" fillId="0" borderId="8" xfId="0" applyFont="1" applyBorder="1" applyAlignment="1">
      <alignment horizontal="center" vertical="center"/>
    </xf>
    <xf numFmtId="0" fontId="0" fillId="0" borderId="8" xfId="0"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16" xfId="0"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1" fillId="0" borderId="16" xfId="0" applyFont="1" applyBorder="1" applyAlignment="1">
      <alignment horizontal="center" vertical="center"/>
    </xf>
    <xf numFmtId="0" fontId="3" fillId="0" borderId="20" xfId="0" applyFont="1" applyBorder="1" applyAlignment="1">
      <alignment horizontal="center" vertical="center"/>
    </xf>
    <xf numFmtId="0" fontId="0" fillId="0" borderId="15" xfId="0" applyBorder="1" applyAlignment="1">
      <alignment horizontal="center" vertical="center"/>
    </xf>
    <xf numFmtId="0" fontId="0" fillId="3" borderId="15" xfId="0" applyFill="1" applyBorder="1" applyAlignment="1">
      <alignment horizontal="center" vertical="center"/>
    </xf>
    <xf numFmtId="0" fontId="0" fillId="0" borderId="16" xfId="0" applyFont="1" applyBorder="1" applyAlignment="1">
      <alignment horizontal="center" vertical="center"/>
    </xf>
    <xf numFmtId="0" fontId="0" fillId="0" borderId="15" xfId="0" applyFont="1" applyBorder="1" applyAlignment="1">
      <alignment horizontal="center" vertical="center"/>
    </xf>
    <xf numFmtId="0" fontId="1" fillId="0" borderId="15" xfId="0" applyFont="1" applyBorder="1" applyAlignment="1">
      <alignment horizontal="center" vertical="center"/>
    </xf>
    <xf numFmtId="0" fontId="3" fillId="0" borderId="17" xfId="0" applyFont="1" applyBorder="1" applyAlignment="1">
      <alignment horizontal="center" vertical="center"/>
    </xf>
    <xf numFmtId="0" fontId="2" fillId="0" borderId="6" xfId="0" applyFont="1" applyBorder="1" applyAlignment="1">
      <alignment horizontal="center" vertical="center"/>
    </xf>
    <xf numFmtId="0" fontId="1" fillId="0" borderId="30" xfId="0" applyFont="1" applyBorder="1" applyAlignment="1">
      <alignment horizontal="center" vertical="center"/>
    </xf>
    <xf numFmtId="0" fontId="3" fillId="0" borderId="31" xfId="0" applyFont="1" applyBorder="1" applyAlignment="1">
      <alignment horizontal="center" vertical="center"/>
    </xf>
    <xf numFmtId="0" fontId="0" fillId="0" borderId="30" xfId="0" applyBorder="1" applyAlignment="1">
      <alignment horizontal="center" vertical="center"/>
    </xf>
    <xf numFmtId="1" fontId="0" fillId="0" borderId="16" xfId="0" applyNumberFormat="1" applyBorder="1" applyAlignment="1">
      <alignment horizontal="center" vertical="center"/>
    </xf>
    <xf numFmtId="0" fontId="0" fillId="0" borderId="15" xfId="0" applyFont="1" applyFill="1" applyBorder="1" applyAlignment="1">
      <alignment horizontal="center" vertical="center"/>
    </xf>
    <xf numFmtId="0" fontId="0" fillId="0" borderId="15" xfId="0"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2" fontId="0" fillId="0" borderId="8" xfId="0" applyNumberFormat="1"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center" vertical="center"/>
    </xf>
    <xf numFmtId="0" fontId="0" fillId="0" borderId="42" xfId="0" applyBorder="1" applyAlignment="1">
      <alignment horizontal="center" vertical="center"/>
    </xf>
    <xf numFmtId="0" fontId="0" fillId="0" borderId="41" xfId="0" applyBorder="1" applyAlignment="1">
      <alignment horizontal="center" vertical="center"/>
    </xf>
    <xf numFmtId="0" fontId="0" fillId="0" borderId="21" xfId="0" applyBorder="1" applyAlignment="1">
      <alignment horizontal="center" vertical="center"/>
    </xf>
    <xf numFmtId="0" fontId="0" fillId="0" borderId="5" xfId="0" applyBorder="1" applyAlignment="1">
      <alignment horizontal="center" vertical="center"/>
    </xf>
    <xf numFmtId="0" fontId="0" fillId="0" borderId="22" xfId="0" applyBorder="1" applyAlignment="1">
      <alignment horizontal="center" vertical="center"/>
    </xf>
    <xf numFmtId="0" fontId="1" fillId="0" borderId="0" xfId="0" applyFont="1" applyBorder="1" applyAlignment="1">
      <alignment vertical="center"/>
    </xf>
    <xf numFmtId="0" fontId="0" fillId="0" borderId="37" xfId="0" applyBorder="1" applyAlignment="1">
      <alignment horizontal="center" vertical="center"/>
    </xf>
    <xf numFmtId="0" fontId="0" fillId="0" borderId="36" xfId="0" applyBorder="1" applyAlignment="1">
      <alignment horizontal="center" vertical="center"/>
    </xf>
    <xf numFmtId="0" fontId="0" fillId="0" borderId="44" xfId="0" applyBorder="1" applyAlignment="1">
      <alignment horizontal="center" vertical="center"/>
    </xf>
    <xf numFmtId="0" fontId="0" fillId="0" borderId="38" xfId="0" applyBorder="1" applyAlignment="1">
      <alignment horizontal="center" vertical="center"/>
    </xf>
    <xf numFmtId="0" fontId="0" fillId="0" borderId="45" xfId="0" applyBorder="1" applyAlignment="1">
      <alignment horizontal="center" vertical="center"/>
    </xf>
    <xf numFmtId="0" fontId="1" fillId="0" borderId="32" xfId="0" applyFont="1" applyBorder="1" applyAlignment="1">
      <alignment horizontal="center" vertical="center"/>
    </xf>
    <xf numFmtId="0" fontId="0" fillId="0" borderId="46" xfId="0" applyBorder="1" applyAlignment="1">
      <alignment horizontal="center" vertical="center"/>
    </xf>
    <xf numFmtId="0" fontId="0" fillId="0" borderId="47" xfId="0" applyFill="1" applyBorder="1" applyAlignment="1">
      <alignment horizontal="center" vertical="center"/>
    </xf>
    <xf numFmtId="0" fontId="0" fillId="0" borderId="48" xfId="0" applyFont="1" applyBorder="1" applyAlignment="1">
      <alignment horizontal="center" vertical="center"/>
    </xf>
    <xf numFmtId="0" fontId="0" fillId="0" borderId="49" xfId="0" applyBorder="1" applyAlignment="1">
      <alignment horizontal="center" vertical="center"/>
    </xf>
    <xf numFmtId="0" fontId="0" fillId="0" borderId="50" xfId="0" applyFont="1" applyBorder="1" applyAlignment="1">
      <alignment horizontal="center" vertical="center"/>
    </xf>
    <xf numFmtId="0" fontId="0" fillId="0" borderId="47" xfId="0" applyFont="1" applyBorder="1" applyAlignment="1">
      <alignment horizontal="center" vertical="center"/>
    </xf>
    <xf numFmtId="0" fontId="5" fillId="0" borderId="50" xfId="0" applyFont="1" applyBorder="1" applyAlignment="1">
      <alignment horizontal="center" vertical="center"/>
    </xf>
    <xf numFmtId="0" fontId="0" fillId="0" borderId="50" xfId="0" applyBorder="1" applyAlignment="1">
      <alignment horizontal="center" vertical="center"/>
    </xf>
    <xf numFmtId="0" fontId="0" fillId="0" borderId="52" xfId="0" applyBorder="1"/>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51" xfId="0" applyBorder="1" applyAlignment="1">
      <alignment horizontal="center" vertical="center"/>
    </xf>
    <xf numFmtId="0" fontId="0" fillId="0" borderId="53" xfId="0" applyFont="1" applyBorder="1" applyAlignment="1">
      <alignment horizontal="center" vertical="center"/>
    </xf>
    <xf numFmtId="0" fontId="3" fillId="0" borderId="61" xfId="0" applyFont="1" applyBorder="1" applyAlignment="1">
      <alignment vertical="center"/>
    </xf>
    <xf numFmtId="0" fontId="3" fillId="0" borderId="43" xfId="0" applyFont="1" applyBorder="1" applyAlignment="1">
      <alignment vertical="center"/>
    </xf>
    <xf numFmtId="0" fontId="3" fillId="0" borderId="52" xfId="0" applyFont="1" applyBorder="1" applyAlignment="1">
      <alignment vertical="center"/>
    </xf>
    <xf numFmtId="0" fontId="1" fillId="0" borderId="51" xfId="0" applyFont="1" applyBorder="1" applyAlignment="1">
      <alignment horizontal="center" vertical="center"/>
    </xf>
    <xf numFmtId="0" fontId="0" fillId="0" borderId="0" xfId="0" applyBorder="1"/>
    <xf numFmtId="0" fontId="3" fillId="0" borderId="62" xfId="0" applyFont="1" applyBorder="1" applyAlignment="1">
      <alignment vertical="center"/>
    </xf>
    <xf numFmtId="0" fontId="1" fillId="0" borderId="66" xfId="0" applyFont="1" applyBorder="1" applyAlignment="1">
      <alignment horizontal="center" vertical="center"/>
    </xf>
    <xf numFmtId="0" fontId="1" fillId="0" borderId="67" xfId="0" applyFont="1" applyBorder="1" applyAlignment="1">
      <alignment horizontal="center" vertical="center"/>
    </xf>
    <xf numFmtId="0" fontId="1" fillId="0" borderId="68" xfId="0" applyFont="1" applyBorder="1" applyAlignment="1">
      <alignment horizontal="center" vertical="center"/>
    </xf>
    <xf numFmtId="0" fontId="0" fillId="0" borderId="63" xfId="0" applyFont="1" applyBorder="1" applyAlignment="1">
      <alignment horizontal="center" vertical="center"/>
    </xf>
    <xf numFmtId="0" fontId="0" fillId="3" borderId="47" xfId="0" applyFill="1" applyBorder="1" applyAlignment="1">
      <alignment horizontal="center" vertical="center"/>
    </xf>
    <xf numFmtId="0" fontId="0" fillId="0" borderId="46" xfId="0" applyFont="1" applyBorder="1" applyAlignment="1">
      <alignment horizontal="center" vertical="center"/>
    </xf>
    <xf numFmtId="0" fontId="0" fillId="0" borderId="74" xfId="0" applyBorder="1"/>
    <xf numFmtId="0" fontId="0" fillId="0" borderId="75" xfId="0" applyBorder="1"/>
    <xf numFmtId="0" fontId="5" fillId="0" borderId="0" xfId="0" applyFont="1" applyBorder="1"/>
    <xf numFmtId="0" fontId="2" fillId="0" borderId="5" xfId="0" applyFont="1" applyBorder="1" applyAlignment="1">
      <alignment horizontal="center" vertical="center"/>
    </xf>
    <xf numFmtId="0" fontId="2" fillId="0" borderId="21" xfId="0" applyFont="1" applyBorder="1" applyAlignment="1">
      <alignment horizontal="center" vertical="center"/>
    </xf>
    <xf numFmtId="1" fontId="2" fillId="0" borderId="5" xfId="0" applyNumberFormat="1" applyFont="1" applyBorder="1" applyAlignment="1">
      <alignment horizontal="center" vertical="center"/>
    </xf>
    <xf numFmtId="0" fontId="2" fillId="0" borderId="7" xfId="0" applyFont="1" applyBorder="1" applyAlignment="1">
      <alignment horizontal="center" vertical="center"/>
    </xf>
    <xf numFmtId="0" fontId="0" fillId="0" borderId="24" xfId="0" applyBorder="1" applyAlignment="1">
      <alignment vertical="center"/>
    </xf>
    <xf numFmtId="0" fontId="0" fillId="0" borderId="21" xfId="0" applyBorder="1" applyAlignment="1">
      <alignment vertical="center"/>
    </xf>
    <xf numFmtId="2" fontId="0" fillId="0" borderId="5" xfId="0" applyNumberFormat="1" applyBorder="1" applyAlignment="1">
      <alignment vertical="center"/>
    </xf>
    <xf numFmtId="0" fontId="3" fillId="0" borderId="30" xfId="0" applyFont="1" applyBorder="1" applyAlignment="1">
      <alignment horizontal="center" vertical="center"/>
    </xf>
    <xf numFmtId="0" fontId="3" fillId="0" borderId="30" xfId="0" applyFont="1" applyBorder="1" applyAlignment="1">
      <alignment horizontal="center" vertical="center" wrapText="1"/>
    </xf>
    <xf numFmtId="0" fontId="3" fillId="0" borderId="51" xfId="0" applyFont="1" applyBorder="1" applyAlignment="1">
      <alignment horizontal="center" vertical="center" wrapText="1"/>
    </xf>
    <xf numFmtId="164" fontId="0" fillId="0" borderId="22" xfId="0" applyNumberFormat="1" applyBorder="1" applyAlignment="1">
      <alignment vertical="center"/>
    </xf>
    <xf numFmtId="2" fontId="0" fillId="0" borderId="4" xfId="0" applyNumberFormat="1" applyBorder="1" applyAlignment="1">
      <alignment vertical="center"/>
    </xf>
    <xf numFmtId="0" fontId="2" fillId="0" borderId="8" xfId="0" applyFont="1" applyFill="1" applyBorder="1" applyAlignment="1">
      <alignment horizontal="center" vertical="center"/>
    </xf>
    <xf numFmtId="0" fontId="2" fillId="0" borderId="16" xfId="0" applyFont="1" applyFill="1" applyBorder="1" applyAlignment="1">
      <alignment horizontal="center" vertical="center"/>
    </xf>
    <xf numFmtId="0" fontId="2" fillId="0" borderId="6" xfId="0" applyFont="1" applyFill="1" applyBorder="1" applyAlignment="1">
      <alignment horizontal="center" vertical="center"/>
    </xf>
    <xf numFmtId="0" fontId="0" fillId="0" borderId="8" xfId="0" applyFill="1" applyBorder="1" applyAlignment="1">
      <alignment horizontal="center" vertical="center"/>
    </xf>
    <xf numFmtId="0" fontId="0" fillId="0" borderId="16" xfId="0" applyFill="1" applyBorder="1" applyAlignment="1">
      <alignment horizontal="center" vertical="center"/>
    </xf>
    <xf numFmtId="0" fontId="0" fillId="0" borderId="6" xfId="0" applyFill="1" applyBorder="1" applyAlignment="1">
      <alignment horizontal="center" vertical="center"/>
    </xf>
    <xf numFmtId="0" fontId="0" fillId="0" borderId="16" xfId="0" applyFont="1" applyFill="1" applyBorder="1" applyAlignment="1">
      <alignment horizontal="center" vertical="center"/>
    </xf>
    <xf numFmtId="0" fontId="0" fillId="0" borderId="7" xfId="0" applyFont="1" applyFill="1" applyBorder="1" applyAlignment="1">
      <alignment horizontal="center" vertical="center"/>
    </xf>
    <xf numFmtId="0" fontId="5" fillId="0" borderId="16" xfId="0" applyFont="1" applyFill="1" applyBorder="1" applyAlignment="1">
      <alignment horizontal="center" vertical="center"/>
    </xf>
    <xf numFmtId="0" fontId="2" fillId="0" borderId="54" xfId="0" applyFont="1" applyBorder="1" applyAlignment="1">
      <alignment horizontal="center" vertical="center"/>
    </xf>
    <xf numFmtId="0" fontId="1" fillId="0" borderId="32" xfId="0" applyFont="1" applyBorder="1" applyAlignment="1">
      <alignment horizontal="center" vertical="center" wrapText="1"/>
    </xf>
    <xf numFmtId="0" fontId="4" fillId="0" borderId="32" xfId="0" applyFont="1" applyBorder="1" applyAlignment="1">
      <alignment horizontal="center"/>
    </xf>
    <xf numFmtId="0" fontId="0" fillId="0" borderId="21" xfId="0" applyBorder="1" applyAlignment="1">
      <alignment horizontal="center" vertical="center"/>
    </xf>
    <xf numFmtId="0" fontId="0" fillId="0" borderId="15" xfId="0" applyBorder="1" applyAlignment="1">
      <alignment horizontal="center" vertical="center"/>
    </xf>
    <xf numFmtId="0" fontId="3" fillId="0" borderId="32" xfId="0" applyFont="1" applyBorder="1" applyAlignment="1">
      <alignment horizontal="center" vertical="center" wrapText="1"/>
    </xf>
    <xf numFmtId="0" fontId="0" fillId="0" borderId="69" xfId="0" applyBorder="1" applyAlignment="1">
      <alignment horizontal="center" vertical="center"/>
    </xf>
    <xf numFmtId="0" fontId="0" fillId="0" borderId="21" xfId="0" applyBorder="1" applyAlignment="1">
      <alignment horizontal="center" vertical="center"/>
    </xf>
    <xf numFmtId="0" fontId="0" fillId="0" borderId="15" xfId="0" applyBorder="1" applyAlignment="1">
      <alignment horizontal="center" vertical="center"/>
    </xf>
    <xf numFmtId="0" fontId="0" fillId="0" borderId="78" xfId="0" applyBorder="1" applyAlignment="1">
      <alignment horizontal="center" vertical="center"/>
    </xf>
    <xf numFmtId="0" fontId="0" fillId="0" borderId="79" xfId="0" applyBorder="1" applyAlignment="1">
      <alignment horizontal="center" vertical="center"/>
    </xf>
    <xf numFmtId="0" fontId="0" fillId="0" borderId="78" xfId="0" applyBorder="1" applyAlignment="1">
      <alignment horizontal="center" vertical="center"/>
    </xf>
    <xf numFmtId="0" fontId="0" fillId="0" borderId="69" xfId="0" applyBorder="1" applyAlignment="1">
      <alignment horizontal="center" vertical="center"/>
    </xf>
    <xf numFmtId="0" fontId="0" fillId="0" borderId="7" xfId="0" applyBorder="1" applyAlignment="1">
      <alignment horizontal="center" vertical="center"/>
    </xf>
    <xf numFmtId="0" fontId="0" fillId="0" borderId="29" xfId="0" applyBorder="1" applyAlignment="1">
      <alignment horizontal="center" vertical="center"/>
    </xf>
    <xf numFmtId="0" fontId="0" fillId="0" borderId="80" xfId="0" applyBorder="1" applyAlignment="1">
      <alignment horizontal="center" vertical="center"/>
    </xf>
    <xf numFmtId="0" fontId="0" fillId="0" borderId="81" xfId="0" applyBorder="1" applyAlignment="1">
      <alignment horizontal="center" vertical="center"/>
    </xf>
    <xf numFmtId="0" fontId="0" fillId="0" borderId="28"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8"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6" xfId="0" applyBorder="1" applyAlignment="1">
      <alignment horizontal="center"/>
    </xf>
    <xf numFmtId="0" fontId="0" fillId="0" borderId="85" xfId="0" applyBorder="1" applyAlignment="1">
      <alignment horizontal="center" vertical="center"/>
    </xf>
    <xf numFmtId="0" fontId="0" fillId="0" borderId="86" xfId="0" applyBorder="1" applyAlignment="1">
      <alignment horizontal="center" vertical="center"/>
    </xf>
    <xf numFmtId="0" fontId="0" fillId="0" borderId="9" xfId="0" applyBorder="1"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0" fillId="0" borderId="89" xfId="0" applyBorder="1" applyAlignment="1">
      <alignment horizontal="center" vertical="center"/>
    </xf>
    <xf numFmtId="0" fontId="0" fillId="0" borderId="48" xfId="0" applyBorder="1" applyAlignment="1">
      <alignment horizontal="center" vertical="center"/>
    </xf>
    <xf numFmtId="0" fontId="0" fillId="0" borderId="90" xfId="0" applyBorder="1" applyAlignment="1">
      <alignment horizontal="center" vertical="center"/>
    </xf>
    <xf numFmtId="0" fontId="0" fillId="0" borderId="69" xfId="0" applyBorder="1" applyAlignment="1">
      <alignment horizontal="center" vertical="center"/>
    </xf>
    <xf numFmtId="0" fontId="0" fillId="0" borderId="21" xfId="0" applyBorder="1" applyAlignment="1">
      <alignment horizontal="center" vertical="center"/>
    </xf>
    <xf numFmtId="0" fontId="0" fillId="0" borderId="15" xfId="0" applyBorder="1" applyAlignment="1">
      <alignment horizontal="center" vertical="center"/>
    </xf>
    <xf numFmtId="0" fontId="0" fillId="0" borderId="47" xfId="0" applyBorder="1" applyAlignment="1">
      <alignment horizontal="center" vertical="center"/>
    </xf>
    <xf numFmtId="0" fontId="0" fillId="0" borderId="23" xfId="0" applyBorder="1" applyAlignment="1">
      <alignment horizontal="center" vertical="center"/>
    </xf>
    <xf numFmtId="0" fontId="0" fillId="0" borderId="78" xfId="0" applyBorder="1" applyAlignment="1">
      <alignment horizontal="center" vertical="center"/>
    </xf>
    <xf numFmtId="0" fontId="0" fillId="0" borderId="8" xfId="0" applyBorder="1" applyAlignment="1">
      <alignment horizontal="center" vertical="center"/>
    </xf>
    <xf numFmtId="0" fontId="0" fillId="0" borderId="49" xfId="0" applyBorder="1" applyAlignment="1">
      <alignment horizontal="center" vertical="center"/>
    </xf>
    <xf numFmtId="0" fontId="0" fillId="0" borderId="46" xfId="0" applyBorder="1" applyAlignment="1">
      <alignment horizontal="center"/>
    </xf>
    <xf numFmtId="0" fontId="0" fillId="0" borderId="48" xfId="0"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0" fillId="0" borderId="78" xfId="0" applyBorder="1" applyAlignment="1">
      <alignment horizontal="center" vertical="center"/>
    </xf>
    <xf numFmtId="0" fontId="0" fillId="0" borderId="69" xfId="0" applyBorder="1" applyAlignment="1">
      <alignment horizontal="center" vertical="center"/>
    </xf>
    <xf numFmtId="0" fontId="0" fillId="0" borderId="15" xfId="0" applyBorder="1" applyAlignment="1">
      <alignment horizontal="center" vertical="center"/>
    </xf>
    <xf numFmtId="0" fontId="0" fillId="0" borderId="23" xfId="0" applyBorder="1" applyAlignment="1">
      <alignment horizontal="center" vertical="center"/>
    </xf>
    <xf numFmtId="0" fontId="1" fillId="0" borderId="93" xfId="0" applyFont="1" applyBorder="1" applyAlignment="1">
      <alignment horizontal="center" vertical="center"/>
    </xf>
    <xf numFmtId="2" fontId="0" fillId="0" borderId="54" xfId="0" applyNumberFormat="1" applyBorder="1" applyAlignment="1">
      <alignment vertical="center"/>
    </xf>
    <xf numFmtId="0" fontId="0" fillId="0" borderId="94" xfId="0" applyBorder="1" applyAlignment="1">
      <alignment horizontal="center" vertical="center"/>
    </xf>
    <xf numFmtId="0" fontId="0" fillId="0" borderId="97" xfId="0" applyBorder="1" applyAlignment="1">
      <alignment horizontal="center" vertical="center"/>
    </xf>
    <xf numFmtId="0" fontId="0" fillId="0" borderId="98" xfId="0" applyBorder="1" applyAlignment="1">
      <alignment horizontal="center" vertical="center"/>
    </xf>
    <xf numFmtId="0" fontId="0" fillId="0" borderId="84" xfId="0" applyBorder="1" applyAlignment="1">
      <alignment vertical="center"/>
    </xf>
    <xf numFmtId="0" fontId="0" fillId="0" borderId="8" xfId="0" applyBorder="1" applyAlignment="1">
      <alignment vertical="center"/>
    </xf>
    <xf numFmtId="0" fontId="0" fillId="0" borderId="79" xfId="0" applyBorder="1" applyAlignment="1">
      <alignment horizontal="center" vertical="center"/>
    </xf>
    <xf numFmtId="0" fontId="0" fillId="0" borderId="63" xfId="0" applyBorder="1" applyAlignment="1">
      <alignment horizontal="center" vertical="center"/>
    </xf>
    <xf numFmtId="0" fontId="0" fillId="0" borderId="60" xfId="0" applyBorder="1" applyAlignment="1">
      <alignment vertical="center"/>
    </xf>
    <xf numFmtId="0" fontId="0" fillId="0" borderId="103" xfId="0" applyBorder="1" applyAlignment="1">
      <alignment vertical="center"/>
    </xf>
    <xf numFmtId="0" fontId="0" fillId="0" borderId="104" xfId="0" applyBorder="1" applyAlignment="1">
      <alignment vertical="center"/>
    </xf>
    <xf numFmtId="0" fontId="5" fillId="0" borderId="86" xfId="0" applyFont="1" applyBorder="1" applyAlignment="1">
      <alignment horizontal="center" vertical="center"/>
    </xf>
    <xf numFmtId="0" fontId="5" fillId="0" borderId="87" xfId="0" applyFont="1" applyBorder="1" applyAlignment="1">
      <alignment horizontal="center" vertical="center"/>
    </xf>
    <xf numFmtId="0" fontId="5" fillId="0" borderId="48" xfId="0" applyFont="1" applyBorder="1" applyAlignment="1">
      <alignment horizontal="center" vertical="center"/>
    </xf>
    <xf numFmtId="0" fontId="0" fillId="0" borderId="101" xfId="0" applyBorder="1" applyAlignment="1">
      <alignment horizontal="center" vertical="center"/>
    </xf>
    <xf numFmtId="0" fontId="0" fillId="0" borderId="34" xfId="0" applyBorder="1"/>
    <xf numFmtId="0" fontId="0" fillId="0" borderId="80" xfId="0" applyBorder="1" applyAlignment="1">
      <alignment horizontal="center" vertical="center"/>
    </xf>
    <xf numFmtId="0" fontId="0" fillId="0" borderId="105" xfId="0" applyBorder="1" applyAlignment="1">
      <alignment horizontal="center" vertical="center"/>
    </xf>
    <xf numFmtId="0" fontId="0" fillId="0" borderId="106" xfId="0" applyBorder="1" applyAlignment="1">
      <alignment horizontal="center" vertical="center"/>
    </xf>
    <xf numFmtId="0" fontId="0" fillId="0" borderId="107" xfId="0" applyBorder="1" applyAlignment="1">
      <alignment horizontal="center" vertical="center"/>
    </xf>
    <xf numFmtId="0" fontId="0" fillId="0" borderId="108" xfId="0" applyBorder="1" applyAlignment="1">
      <alignment horizontal="center" vertical="center"/>
    </xf>
    <xf numFmtId="0" fontId="0" fillId="0" borderId="60" xfId="0" applyFill="1" applyBorder="1" applyAlignment="1">
      <alignment vertical="center"/>
    </xf>
    <xf numFmtId="0" fontId="0" fillId="0" borderId="84" xfId="0" applyFill="1" applyBorder="1" applyAlignment="1">
      <alignment vertical="center"/>
    </xf>
    <xf numFmtId="0" fontId="0" fillId="0" borderId="15" xfId="0" applyFill="1" applyBorder="1" applyAlignment="1">
      <alignment vertical="center"/>
    </xf>
    <xf numFmtId="0" fontId="0" fillId="0" borderId="8" xfId="0" applyFill="1" applyBorder="1" applyAlignment="1">
      <alignment vertical="center"/>
    </xf>
    <xf numFmtId="0" fontId="0" fillId="0" borderId="47" xfId="0" applyFill="1" applyBorder="1" applyAlignment="1">
      <alignment vertical="center"/>
    </xf>
    <xf numFmtId="0" fontId="0" fillId="0" borderId="49" xfId="0" applyFill="1" applyBorder="1" applyAlignment="1">
      <alignment vertical="center"/>
    </xf>
    <xf numFmtId="0" fontId="0" fillId="0" borderId="15" xfId="0" applyBorder="1" applyAlignment="1">
      <alignment vertical="center"/>
    </xf>
    <xf numFmtId="2" fontId="0" fillId="0" borderId="8" xfId="0" applyNumberFormat="1" applyBorder="1" applyAlignment="1">
      <alignment vertical="center"/>
    </xf>
    <xf numFmtId="0" fontId="5" fillId="0" borderId="0" xfId="0" applyFont="1" applyBorder="1" applyAlignment="1"/>
    <xf numFmtId="0" fontId="3" fillId="0" borderId="0" xfId="0" applyFont="1" applyBorder="1" applyAlignment="1">
      <alignment horizontal="center" vertical="center" wrapText="1"/>
    </xf>
    <xf numFmtId="0" fontId="0" fillId="0" borderId="0" xfId="0" applyBorder="1" applyAlignment="1">
      <alignment horizontal="center" vertical="center"/>
    </xf>
    <xf numFmtId="0" fontId="2" fillId="0" borderId="69" xfId="0" applyFont="1" applyBorder="1" applyAlignment="1">
      <alignment horizontal="center" vertical="center"/>
    </xf>
    <xf numFmtId="0" fontId="0" fillId="0" borderId="69" xfId="0" applyBorder="1" applyAlignment="1">
      <alignment horizontal="center" vertical="center"/>
    </xf>
    <xf numFmtId="0" fontId="0" fillId="0" borderId="80" xfId="0" applyBorder="1" applyAlignment="1">
      <alignment horizontal="center" vertical="center"/>
    </xf>
    <xf numFmtId="0" fontId="0" fillId="0" borderId="78" xfId="0" applyBorder="1" applyAlignment="1">
      <alignment horizontal="center" vertical="center"/>
    </xf>
    <xf numFmtId="0" fontId="0" fillId="0" borderId="80" xfId="0" applyBorder="1" applyAlignment="1">
      <alignment horizontal="center" vertical="center"/>
    </xf>
    <xf numFmtId="0" fontId="0" fillId="0" borderId="79" xfId="0" applyBorder="1" applyAlignment="1">
      <alignment horizontal="center" vertical="center"/>
    </xf>
    <xf numFmtId="0" fontId="0" fillId="0" borderId="82" xfId="0" applyFill="1" applyBorder="1" applyAlignment="1">
      <alignment horizontal="center" vertical="center"/>
    </xf>
    <xf numFmtId="0" fontId="0" fillId="0" borderId="82" xfId="0" applyFont="1" applyFill="1" applyBorder="1" applyAlignment="1">
      <alignment horizontal="center" vertical="center"/>
    </xf>
    <xf numFmtId="0" fontId="0" fillId="0" borderId="116" xfId="0" applyBorder="1" applyAlignment="1">
      <alignment horizontal="center" vertical="center"/>
    </xf>
    <xf numFmtId="0" fontId="0" fillId="0" borderId="117" xfId="0" applyBorder="1" applyAlignment="1">
      <alignment horizontal="center" vertical="center"/>
    </xf>
    <xf numFmtId="0" fontId="0" fillId="0" borderId="118" xfId="0" applyBorder="1" applyAlignment="1">
      <alignment horizontal="center" vertical="center"/>
    </xf>
    <xf numFmtId="0" fontId="0" fillId="0" borderId="2" xfId="0" applyBorder="1" applyAlignment="1">
      <alignment horizontal="center" vertical="center"/>
    </xf>
    <xf numFmtId="0" fontId="0" fillId="0" borderId="82" xfId="0" applyFont="1" applyBorder="1" applyAlignment="1">
      <alignment horizontal="center" vertical="center"/>
    </xf>
    <xf numFmtId="0" fontId="0" fillId="0" borderId="89" xfId="0" applyFont="1" applyBorder="1" applyAlignment="1">
      <alignment horizontal="center" vertical="center"/>
    </xf>
    <xf numFmtId="0" fontId="0" fillId="0" borderId="78" xfId="0" quotePrefix="1" applyBorder="1" applyAlignment="1">
      <alignment horizontal="center" vertical="center"/>
    </xf>
    <xf numFmtId="1" fontId="2" fillId="0" borderId="54" xfId="0" applyNumberFormat="1" applyFont="1" applyBorder="1" applyAlignment="1">
      <alignment horizontal="center" vertical="center"/>
    </xf>
    <xf numFmtId="0" fontId="0" fillId="0" borderId="87" xfId="0" applyBorder="1" applyAlignment="1">
      <alignment horizontal="center"/>
    </xf>
    <xf numFmtId="0" fontId="0" fillId="0" borderId="119" xfId="0" applyBorder="1" applyAlignment="1">
      <alignment horizontal="center" vertical="center"/>
    </xf>
    <xf numFmtId="0" fontId="1" fillId="0" borderId="8"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16" xfId="0" applyFont="1" applyFill="1" applyBorder="1" applyAlignment="1">
      <alignment horizontal="center" vertical="center"/>
    </xf>
    <xf numFmtId="0" fontId="3" fillId="0" borderId="17" xfId="0" applyFont="1" applyFill="1" applyBorder="1" applyAlignment="1">
      <alignment horizontal="center" vertical="center"/>
    </xf>
    <xf numFmtId="0" fontId="3" fillId="0" borderId="18" xfId="0" applyFont="1" applyFill="1" applyBorder="1" applyAlignment="1">
      <alignment horizontal="center" vertical="center"/>
    </xf>
    <xf numFmtId="0" fontId="3" fillId="0" borderId="20" xfId="0" applyFont="1" applyFill="1" applyBorder="1" applyAlignment="1">
      <alignment horizontal="center" vertical="center"/>
    </xf>
    <xf numFmtId="0" fontId="0" fillId="0" borderId="123" xfId="0" applyBorder="1"/>
    <xf numFmtId="0" fontId="0" fillId="0" borderId="127" xfId="0" applyBorder="1"/>
    <xf numFmtId="0" fontId="0" fillId="0" borderId="131" xfId="0" applyBorder="1"/>
    <xf numFmtId="0" fontId="0" fillId="0" borderId="0" xfId="0" applyAlignment="1">
      <alignment horizontal="center"/>
    </xf>
    <xf numFmtId="0" fontId="0" fillId="0" borderId="129" xfId="0" applyBorder="1"/>
    <xf numFmtId="0" fontId="1" fillId="0" borderId="64" xfId="0" applyFont="1" applyBorder="1" applyAlignment="1">
      <alignment vertical="center"/>
    </xf>
    <xf numFmtId="0" fontId="2" fillId="0" borderId="23" xfId="0" applyFont="1" applyBorder="1" applyAlignment="1">
      <alignment horizontal="center" vertical="center"/>
    </xf>
    <xf numFmtId="0" fontId="5" fillId="0" borderId="80" xfId="0" applyFont="1" applyBorder="1" applyAlignment="1">
      <alignment horizontal="center" vertical="center"/>
    </xf>
    <xf numFmtId="0" fontId="5" fillId="0" borderId="81" xfId="0" applyFont="1" applyBorder="1" applyAlignment="1">
      <alignment horizontal="center" vertical="center"/>
    </xf>
    <xf numFmtId="0" fontId="5" fillId="0" borderId="5" xfId="0" applyFont="1" applyBorder="1" applyAlignment="1">
      <alignment horizontal="center" vertical="center"/>
    </xf>
    <xf numFmtId="0" fontId="5" fillId="0" borderId="78" xfId="0" applyFont="1" applyBorder="1" applyAlignment="1">
      <alignment horizontal="center" vertical="center"/>
    </xf>
    <xf numFmtId="0" fontId="1" fillId="0" borderId="43" xfId="0" applyFont="1" applyBorder="1" applyAlignment="1">
      <alignment horizontal="center"/>
    </xf>
    <xf numFmtId="0" fontId="4" fillId="0" borderId="110" xfId="0" applyFont="1" applyBorder="1" applyAlignment="1">
      <alignment horizontal="center" vertical="center" wrapText="1"/>
    </xf>
    <xf numFmtId="0" fontId="3" fillId="0" borderId="110" xfId="0" applyFont="1" applyBorder="1" applyAlignment="1">
      <alignment horizontal="center" vertical="center" wrapText="1"/>
    </xf>
    <xf numFmtId="0" fontId="1" fillId="0" borderId="26" xfId="0" applyFont="1" applyBorder="1" applyAlignment="1">
      <alignment horizontal="center"/>
    </xf>
    <xf numFmtId="0" fontId="0" fillId="0" borderId="110" xfId="0" applyBorder="1" applyAlignment="1">
      <alignment horizontal="center" vertical="center"/>
    </xf>
    <xf numFmtId="0" fontId="0" fillId="0" borderId="109" xfId="0" applyBorder="1" applyAlignment="1">
      <alignment horizontal="center" vertical="center"/>
    </xf>
    <xf numFmtId="0" fontId="1" fillId="0" borderId="26" xfId="0" applyFont="1" applyBorder="1" applyAlignment="1">
      <alignment horizontal="center" vertical="center" wrapText="1"/>
    </xf>
    <xf numFmtId="0" fontId="3" fillId="0" borderId="26" xfId="0" applyFont="1" applyBorder="1" applyAlignment="1">
      <alignment horizontal="center" vertical="center" wrapText="1"/>
    </xf>
    <xf numFmtId="0" fontId="4" fillId="0" borderId="109" xfId="0" applyFont="1" applyBorder="1" applyAlignment="1">
      <alignment horizontal="center"/>
    </xf>
    <xf numFmtId="0" fontId="0" fillId="0" borderId="111" xfId="0" applyBorder="1" applyAlignment="1">
      <alignment horizontal="center" vertical="center"/>
    </xf>
    <xf numFmtId="0" fontId="4" fillId="0" borderId="112" xfId="0" applyFont="1" applyBorder="1" applyAlignment="1">
      <alignment horizontal="center"/>
    </xf>
    <xf numFmtId="0" fontId="4" fillId="0" borderId="26" xfId="0" applyFont="1" applyBorder="1" applyAlignment="1">
      <alignment horizontal="center"/>
    </xf>
    <xf numFmtId="0" fontId="0" fillId="0" borderId="95" xfId="0" applyBorder="1" applyAlignment="1">
      <alignment horizontal="center" vertical="center"/>
    </xf>
    <xf numFmtId="0" fontId="0" fillId="0" borderId="23" xfId="0" applyBorder="1" applyAlignment="1">
      <alignment horizontal="center" vertical="center"/>
    </xf>
    <xf numFmtId="0" fontId="0" fillId="0" borderId="86" xfId="0" applyBorder="1" applyAlignment="1">
      <alignment horizontal="center" vertical="center"/>
    </xf>
    <xf numFmtId="0" fontId="0" fillId="0" borderId="86" xfId="0" applyBorder="1" applyAlignment="1">
      <alignment horizontal="center" vertical="center"/>
    </xf>
    <xf numFmtId="0" fontId="0" fillId="0" borderId="92" xfId="0" applyBorder="1" applyAlignment="1">
      <alignment horizontal="center" vertical="center"/>
    </xf>
    <xf numFmtId="0" fontId="0" fillId="0" borderId="95" xfId="0" applyBorder="1" applyAlignment="1">
      <alignment horizontal="center" vertical="center"/>
    </xf>
    <xf numFmtId="0" fontId="0" fillId="0" borderId="23" xfId="0" applyBorder="1" applyAlignment="1">
      <alignment horizontal="center" vertical="center"/>
    </xf>
    <xf numFmtId="0" fontId="0" fillId="0" borderId="86" xfId="0" applyBorder="1" applyAlignment="1">
      <alignment horizontal="center" vertical="center"/>
    </xf>
    <xf numFmtId="0" fontId="3" fillId="0" borderId="52" xfId="0" applyFont="1" applyBorder="1" applyAlignment="1">
      <alignment horizontal="center" vertical="center"/>
    </xf>
    <xf numFmtId="0" fontId="0" fillId="0" borderId="103" xfId="0" applyBorder="1" applyAlignment="1">
      <alignment horizontal="center" vertical="center"/>
    </xf>
    <xf numFmtId="2" fontId="0" fillId="0" borderId="6" xfId="0" applyNumberFormat="1" applyBorder="1" applyAlignment="1">
      <alignment horizontal="center" vertical="center"/>
    </xf>
    <xf numFmtId="2" fontId="0" fillId="0" borderId="92" xfId="0" applyNumberFormat="1" applyBorder="1" applyAlignment="1">
      <alignment horizontal="center" vertical="center"/>
    </xf>
    <xf numFmtId="0" fontId="0" fillId="0" borderId="135" xfId="0" applyBorder="1" applyAlignment="1">
      <alignment horizontal="center" vertical="center"/>
    </xf>
    <xf numFmtId="0" fontId="0" fillId="0" borderId="136" xfId="0" applyBorder="1" applyAlignment="1">
      <alignment horizontal="center" vertical="center"/>
    </xf>
    <xf numFmtId="0" fontId="0" fillId="0" borderId="137" xfId="0" applyBorder="1" applyAlignment="1">
      <alignment horizontal="center" vertical="center"/>
    </xf>
    <xf numFmtId="0" fontId="0" fillId="0" borderId="95" xfId="0" applyBorder="1" applyAlignment="1">
      <alignment horizontal="center" vertical="center"/>
    </xf>
    <xf numFmtId="0" fontId="0" fillId="0" borderId="23" xfId="0" applyBorder="1" applyAlignment="1">
      <alignment horizontal="center" vertical="center"/>
    </xf>
    <xf numFmtId="0" fontId="0" fillId="0" borderId="86" xfId="0" applyBorder="1" applyAlignment="1">
      <alignment horizontal="center" vertical="center"/>
    </xf>
    <xf numFmtId="0" fontId="2" fillId="0" borderId="80" xfId="0" applyFont="1" applyBorder="1" applyAlignment="1">
      <alignment horizontal="center" vertical="center"/>
    </xf>
    <xf numFmtId="0" fontId="2" fillId="0" borderId="81" xfId="0" applyFont="1" applyBorder="1" applyAlignment="1">
      <alignment horizontal="center" vertical="center"/>
    </xf>
    <xf numFmtId="0" fontId="1" fillId="0" borderId="0" xfId="0" applyFont="1" applyAlignment="1">
      <alignment horizontal="right"/>
    </xf>
    <xf numFmtId="9" fontId="0" fillId="0" borderId="46" xfId="1" applyFont="1" applyBorder="1" applyAlignment="1">
      <alignment horizontal="center" vertical="center"/>
    </xf>
    <xf numFmtId="0" fontId="1" fillId="0" borderId="0" xfId="0" applyFont="1" applyBorder="1"/>
    <xf numFmtId="9" fontId="0" fillId="0" borderId="0" xfId="0" applyNumberFormat="1" applyBorder="1"/>
    <xf numFmtId="9" fontId="1" fillId="0" borderId="0" xfId="1" applyFont="1" applyBorder="1"/>
    <xf numFmtId="9" fontId="0" fillId="0" borderId="0" xfId="1" applyFont="1" applyBorder="1"/>
    <xf numFmtId="165" fontId="0" fillId="0" borderId="0" xfId="0" applyNumberFormat="1" applyBorder="1"/>
    <xf numFmtId="165" fontId="0" fillId="0" borderId="0" xfId="1" applyNumberFormat="1" applyFont="1" applyBorder="1"/>
    <xf numFmtId="0" fontId="0" fillId="0" borderId="23" xfId="0" applyBorder="1" applyAlignment="1">
      <alignment horizontal="center" vertical="center"/>
    </xf>
    <xf numFmtId="0" fontId="0" fillId="0" borderId="95" xfId="0" applyBorder="1" applyAlignment="1">
      <alignment horizontal="center" vertical="center"/>
    </xf>
    <xf numFmtId="0" fontId="0" fillId="0" borderId="86" xfId="0" applyBorder="1" applyAlignment="1">
      <alignment horizontal="center" vertical="center"/>
    </xf>
    <xf numFmtId="0" fontId="5" fillId="0" borderId="9" xfId="0" applyFont="1" applyBorder="1" applyAlignment="1">
      <alignment horizontal="center" vertical="center"/>
    </xf>
    <xf numFmtId="0" fontId="0" fillId="0" borderId="138" xfId="0" applyBorder="1" applyAlignment="1">
      <alignment horizontal="center" vertical="center"/>
    </xf>
    <xf numFmtId="0" fontId="0" fillId="0" borderId="139" xfId="0" applyBorder="1" applyAlignment="1">
      <alignment horizontal="center" vertical="center"/>
    </xf>
    <xf numFmtId="0" fontId="0" fillId="0" borderId="95" xfId="0" applyBorder="1" applyAlignment="1">
      <alignment horizontal="center" vertical="center"/>
    </xf>
    <xf numFmtId="0" fontId="0" fillId="0" borderId="23" xfId="0" applyBorder="1" applyAlignment="1">
      <alignment horizontal="center" vertical="center"/>
    </xf>
    <xf numFmtId="0" fontId="0" fillId="0" borderId="86" xfId="0" applyBorder="1" applyAlignment="1">
      <alignment horizontal="center" vertical="center"/>
    </xf>
    <xf numFmtId="165" fontId="0" fillId="0" borderId="0" xfId="0" applyNumberFormat="1"/>
    <xf numFmtId="1" fontId="0" fillId="0" borderId="0" xfId="0" applyNumberFormat="1"/>
    <xf numFmtId="0" fontId="0" fillId="0" borderId="95" xfId="0" applyBorder="1" applyAlignment="1">
      <alignment horizontal="center" vertical="center"/>
    </xf>
    <xf numFmtId="0" fontId="0" fillId="0" borderId="23" xfId="0" applyBorder="1" applyAlignment="1">
      <alignment horizontal="center" vertical="center"/>
    </xf>
    <xf numFmtId="0" fontId="0" fillId="0" borderId="86" xfId="0" applyBorder="1" applyAlignment="1">
      <alignment horizontal="center" vertical="center"/>
    </xf>
    <xf numFmtId="164" fontId="5" fillId="0" borderId="8" xfId="0" applyNumberFormat="1" applyFont="1" applyBorder="1" applyAlignment="1">
      <alignment horizontal="center" vertical="center"/>
    </xf>
    <xf numFmtId="164" fontId="5" fillId="0" borderId="87" xfId="0" applyNumberFormat="1" applyFont="1" applyBorder="1" applyAlignment="1">
      <alignment horizontal="center" vertical="center"/>
    </xf>
    <xf numFmtId="0" fontId="19" fillId="0" borderId="52" xfId="0" applyFont="1" applyBorder="1" applyAlignment="1">
      <alignment vertical="center"/>
    </xf>
    <xf numFmtId="0" fontId="5" fillId="0" borderId="44" xfId="0" applyFont="1" applyBorder="1" applyAlignment="1">
      <alignment horizontal="center" vertical="center"/>
    </xf>
    <xf numFmtId="0" fontId="5" fillId="0" borderId="42" xfId="0" applyFont="1" applyBorder="1" applyAlignment="1">
      <alignment horizontal="center" vertical="center"/>
    </xf>
    <xf numFmtId="0" fontId="5" fillId="0" borderId="102" xfId="0" applyFont="1" applyBorder="1" applyAlignment="1">
      <alignment horizontal="center" vertical="center"/>
    </xf>
    <xf numFmtId="0" fontId="5" fillId="0" borderId="107" xfId="0" applyFont="1" applyBorder="1" applyAlignment="1">
      <alignment horizontal="center" vertical="center"/>
    </xf>
    <xf numFmtId="0" fontId="5" fillId="0" borderId="57" xfId="0" applyFont="1" applyBorder="1" applyAlignment="1">
      <alignment horizontal="center" vertical="center"/>
    </xf>
    <xf numFmtId="0" fontId="5" fillId="0" borderId="103" xfId="0" applyFont="1" applyBorder="1" applyAlignment="1">
      <alignment vertical="center"/>
    </xf>
    <xf numFmtId="0" fontId="5" fillId="0" borderId="6" xfId="0" applyFont="1" applyBorder="1" applyAlignment="1">
      <alignment vertical="center"/>
    </xf>
    <xf numFmtId="2" fontId="5" fillId="0" borderId="6" xfId="0" applyNumberFormat="1" applyFont="1" applyBorder="1" applyAlignment="1">
      <alignment vertical="center"/>
    </xf>
    <xf numFmtId="2" fontId="5" fillId="0" borderId="92" xfId="0" applyNumberFormat="1" applyFont="1" applyBorder="1" applyAlignment="1">
      <alignment vertical="center"/>
    </xf>
    <xf numFmtId="0" fontId="0" fillId="4" borderId="46" xfId="0" applyFill="1" applyBorder="1" applyAlignment="1">
      <alignment horizontal="center" vertical="center"/>
    </xf>
    <xf numFmtId="0" fontId="0" fillId="4" borderId="48" xfId="0" applyFill="1" applyBorder="1" applyAlignment="1">
      <alignment horizontal="center" vertical="center"/>
    </xf>
    <xf numFmtId="0" fontId="5" fillId="4" borderId="49" xfId="0" applyFont="1" applyFill="1" applyBorder="1" applyAlignment="1">
      <alignment horizontal="center" vertical="center"/>
    </xf>
    <xf numFmtId="0" fontId="0" fillId="4" borderId="50" xfId="0" applyFill="1" applyBorder="1" applyAlignment="1">
      <alignment horizontal="center" vertical="center"/>
    </xf>
    <xf numFmtId="0" fontId="0" fillId="4" borderId="89" xfId="0" applyFill="1" applyBorder="1" applyAlignment="1">
      <alignment horizontal="center" vertical="center"/>
    </xf>
    <xf numFmtId="0" fontId="0" fillId="4" borderId="49" xfId="0" applyFill="1" applyBorder="1" applyAlignment="1">
      <alignment horizontal="center" vertical="center"/>
    </xf>
    <xf numFmtId="0" fontId="0" fillId="4" borderId="0" xfId="0" applyFill="1"/>
    <xf numFmtId="0" fontId="0" fillId="4" borderId="47" xfId="0" applyFill="1" applyBorder="1" applyAlignment="1">
      <alignment horizontal="center" vertical="center"/>
    </xf>
    <xf numFmtId="0" fontId="0" fillId="4" borderId="55" xfId="0" applyFill="1" applyBorder="1" applyAlignment="1">
      <alignment horizontal="center" vertical="center"/>
    </xf>
    <xf numFmtId="0" fontId="0" fillId="4" borderId="56" xfId="0" applyFill="1" applyBorder="1" applyAlignment="1">
      <alignment horizontal="center" vertical="center"/>
    </xf>
    <xf numFmtId="0" fontId="0" fillId="4" borderId="58" xfId="0" applyFill="1" applyBorder="1" applyAlignment="1">
      <alignment horizontal="center" vertical="center"/>
    </xf>
    <xf numFmtId="0" fontId="0" fillId="4" borderId="59" xfId="0" applyFill="1" applyBorder="1" applyAlignment="1">
      <alignment horizontal="center" vertical="center"/>
    </xf>
    <xf numFmtId="0" fontId="0" fillId="4" borderId="138" xfId="0" applyFill="1" applyBorder="1" applyAlignment="1">
      <alignment horizontal="center" vertical="center"/>
    </xf>
    <xf numFmtId="0" fontId="2" fillId="0" borderId="9" xfId="0" applyFont="1" applyBorder="1" applyAlignment="1">
      <alignment horizontal="center" vertical="center"/>
    </xf>
    <xf numFmtId="0" fontId="2" fillId="4" borderId="49" xfId="0" applyFont="1" applyFill="1" applyBorder="1" applyAlignment="1">
      <alignment horizontal="center" vertical="center"/>
    </xf>
    <xf numFmtId="0" fontId="1" fillId="5" borderId="0" xfId="0" applyFont="1" applyFill="1"/>
    <xf numFmtId="0" fontId="0" fillId="5" borderId="0" xfId="0" applyFill="1"/>
    <xf numFmtId="0" fontId="0" fillId="0" borderId="141" xfId="0" applyFill="1" applyBorder="1"/>
    <xf numFmtId="0" fontId="2" fillId="0" borderId="50" xfId="0" applyFont="1" applyBorder="1" applyAlignment="1">
      <alignment horizontal="center" vertical="center"/>
    </xf>
    <xf numFmtId="0" fontId="2" fillId="0" borderId="106" xfId="0" applyFont="1" applyBorder="1" applyAlignment="1">
      <alignment horizontal="center" vertical="center"/>
    </xf>
    <xf numFmtId="0" fontId="2" fillId="0" borderId="10" xfId="0" applyFont="1" applyBorder="1" applyAlignment="1">
      <alignment horizontal="center" vertical="center"/>
    </xf>
    <xf numFmtId="0" fontId="2" fillId="4" borderId="56" xfId="0" applyFont="1" applyFill="1" applyBorder="1" applyAlignment="1">
      <alignment horizontal="center" vertical="center"/>
    </xf>
    <xf numFmtId="0" fontId="2" fillId="4" borderId="50" xfId="0" applyFont="1" applyFill="1" applyBorder="1" applyAlignment="1">
      <alignment horizontal="center" vertical="center"/>
    </xf>
    <xf numFmtId="0" fontId="0" fillId="6" borderId="46" xfId="0" applyFill="1" applyBorder="1" applyAlignment="1">
      <alignment horizontal="center" vertical="center"/>
    </xf>
    <xf numFmtId="0" fontId="0" fillId="6" borderId="48" xfId="0" applyFill="1" applyBorder="1" applyAlignment="1">
      <alignment horizontal="center" vertical="center"/>
    </xf>
    <xf numFmtId="0" fontId="0" fillId="6" borderId="49" xfId="0" applyFill="1" applyBorder="1" applyAlignment="1">
      <alignment horizontal="center" vertical="center"/>
    </xf>
    <xf numFmtId="0" fontId="0" fillId="6" borderId="50" xfId="0" applyFill="1" applyBorder="1" applyAlignment="1">
      <alignment horizontal="center" vertical="center"/>
    </xf>
    <xf numFmtId="0" fontId="0" fillId="6" borderId="89" xfId="0" applyFill="1" applyBorder="1" applyAlignment="1">
      <alignment horizontal="center" vertical="center"/>
    </xf>
    <xf numFmtId="0" fontId="3" fillId="6" borderId="43" xfId="0" applyFont="1" applyFill="1" applyBorder="1" applyAlignment="1">
      <alignment horizontal="center" vertical="center"/>
    </xf>
    <xf numFmtId="0" fontId="0" fillId="6" borderId="0" xfId="0" applyFill="1"/>
    <xf numFmtId="0" fontId="0" fillId="6" borderId="47" xfId="0" applyFill="1" applyBorder="1" applyAlignment="1">
      <alignment horizontal="center" vertical="center"/>
    </xf>
    <xf numFmtId="0" fontId="2" fillId="6" borderId="50" xfId="0" applyFont="1" applyFill="1" applyBorder="1" applyAlignment="1">
      <alignment horizontal="center" vertical="center"/>
    </xf>
    <xf numFmtId="0" fontId="0" fillId="0" borderId="23" xfId="0" applyBorder="1" applyAlignment="1">
      <alignment horizontal="center" vertical="center"/>
    </xf>
    <xf numFmtId="0" fontId="0" fillId="0" borderId="95" xfId="0" applyBorder="1" applyAlignment="1">
      <alignment horizontal="center" vertical="center"/>
    </xf>
    <xf numFmtId="0" fontId="0" fillId="0" borderId="86" xfId="0" applyBorder="1" applyAlignment="1">
      <alignment horizontal="center" vertical="center"/>
    </xf>
    <xf numFmtId="0" fontId="0" fillId="0" borderId="95" xfId="0" applyBorder="1" applyAlignment="1">
      <alignment horizontal="center" vertical="center"/>
    </xf>
    <xf numFmtId="0" fontId="0" fillId="0" borderId="23" xfId="0" applyBorder="1" applyAlignment="1">
      <alignment horizontal="center" vertical="center"/>
    </xf>
    <xf numFmtId="0" fontId="0" fillId="0" borderId="86" xfId="0" applyBorder="1" applyAlignment="1">
      <alignment horizontal="center" vertical="center"/>
    </xf>
    <xf numFmtId="0" fontId="0" fillId="0" borderId="9" xfId="0" applyFont="1" applyBorder="1" applyAlignment="1">
      <alignment horizontal="center" vertical="center"/>
    </xf>
    <xf numFmtId="0" fontId="0" fillId="0" borderId="126" xfId="0" applyBorder="1" applyAlignment="1">
      <alignment horizontal="center" vertical="center"/>
    </xf>
    <xf numFmtId="0" fontId="0" fillId="0" borderId="104" xfId="0" applyBorder="1" applyAlignment="1">
      <alignment horizontal="center" vertical="center"/>
    </xf>
    <xf numFmtId="0" fontId="0" fillId="0" borderId="84" xfId="0" applyBorder="1" applyAlignment="1">
      <alignment horizontal="center" vertical="center"/>
    </xf>
    <xf numFmtId="0" fontId="2" fillId="0" borderId="15" xfId="0" applyFont="1" applyBorder="1" applyAlignment="1">
      <alignment horizontal="center" vertical="center"/>
    </xf>
    <xf numFmtId="0" fontId="2" fillId="0" borderId="8" xfId="0" applyFont="1" applyBorder="1" applyAlignment="1">
      <alignment horizontal="center" vertical="center"/>
    </xf>
    <xf numFmtId="0" fontId="2" fillId="0" borderId="16" xfId="0" applyFont="1" applyBorder="1" applyAlignment="1">
      <alignment horizontal="center" vertical="center"/>
    </xf>
    <xf numFmtId="0" fontId="0" fillId="0" borderId="123" xfId="0" applyBorder="1" applyAlignment="1">
      <alignment horizontal="center" vertical="center"/>
    </xf>
    <xf numFmtId="0" fontId="0" fillId="0" borderId="112" xfId="0" applyBorder="1" applyAlignment="1">
      <alignment horizontal="center" vertical="center"/>
    </xf>
    <xf numFmtId="0" fontId="0" fillId="0" borderId="113" xfId="0" applyBorder="1" applyAlignment="1">
      <alignment horizontal="center" vertical="center"/>
    </xf>
    <xf numFmtId="0" fontId="2" fillId="0" borderId="112" xfId="0" applyFont="1" applyBorder="1" applyAlignment="1">
      <alignment horizontal="center" vertical="center"/>
    </xf>
    <xf numFmtId="164" fontId="2" fillId="0" borderId="84" xfId="0" applyNumberFormat="1" applyFont="1" applyBorder="1" applyAlignment="1">
      <alignment horizontal="center" vertical="center"/>
    </xf>
    <xf numFmtId="1" fontId="0" fillId="0" borderId="82" xfId="0" applyNumberFormat="1" applyBorder="1" applyAlignment="1">
      <alignment horizontal="center" vertical="center"/>
    </xf>
    <xf numFmtId="0" fontId="2" fillId="0" borderId="110" xfId="0" applyFont="1" applyBorder="1" applyAlignment="1">
      <alignment horizontal="center" vertical="center"/>
    </xf>
    <xf numFmtId="164" fontId="2" fillId="0" borderId="8" xfId="0" applyNumberFormat="1" applyFont="1" applyBorder="1" applyAlignment="1">
      <alignment horizontal="center" vertical="center"/>
    </xf>
    <xf numFmtId="0" fontId="0" fillId="0" borderId="18" xfId="0" applyBorder="1" applyAlignment="1">
      <alignment horizontal="center" vertical="center"/>
    </xf>
    <xf numFmtId="1" fontId="0" fillId="0" borderId="89" xfId="0" applyNumberFormat="1" applyBorder="1" applyAlignment="1">
      <alignment horizontal="center" vertical="center"/>
    </xf>
    <xf numFmtId="0" fontId="2" fillId="0" borderId="49" xfId="0" applyFont="1" applyBorder="1" applyAlignment="1">
      <alignment horizontal="center" vertical="center"/>
    </xf>
    <xf numFmtId="164" fontId="2" fillId="0" borderId="49" xfId="0" applyNumberFormat="1" applyFont="1" applyBorder="1" applyAlignment="1">
      <alignment horizontal="center" vertical="center"/>
    </xf>
    <xf numFmtId="9" fontId="0" fillId="0" borderId="49" xfId="1" applyFont="1" applyBorder="1" applyAlignment="1">
      <alignment horizontal="center" vertical="center"/>
    </xf>
    <xf numFmtId="0" fontId="0" fillId="0" borderId="70" xfId="0" applyBorder="1" applyAlignment="1">
      <alignment horizontal="center" vertical="center"/>
    </xf>
    <xf numFmtId="0" fontId="0" fillId="0" borderId="74" xfId="0" applyBorder="1" applyAlignment="1">
      <alignment horizontal="center" vertical="center"/>
    </xf>
    <xf numFmtId="0" fontId="0" fillId="0" borderId="125" xfId="0" applyBorder="1" applyAlignment="1">
      <alignment horizontal="center" vertical="center"/>
    </xf>
    <xf numFmtId="0" fontId="0" fillId="0" borderId="121" xfId="0" applyBorder="1" applyAlignment="1">
      <alignment horizontal="center" vertical="center"/>
    </xf>
    <xf numFmtId="0" fontId="0" fillId="0" borderId="71" xfId="0" applyBorder="1" applyAlignment="1">
      <alignment horizontal="center" vertical="center"/>
    </xf>
    <xf numFmtId="0" fontId="2" fillId="0" borderId="70" xfId="0" applyFont="1" applyBorder="1" applyAlignment="1">
      <alignment horizontal="center" vertical="center"/>
    </xf>
    <xf numFmtId="0" fontId="2" fillId="0" borderId="130" xfId="0" applyFont="1" applyBorder="1" applyAlignment="1">
      <alignment horizontal="center" vertical="center"/>
    </xf>
    <xf numFmtId="0" fontId="0" fillId="0" borderId="73" xfId="0" applyBorder="1" applyAlignment="1">
      <alignment horizontal="center" vertical="center"/>
    </xf>
    <xf numFmtId="0" fontId="0" fillId="0" borderId="72" xfId="0" applyBorder="1" applyAlignment="1">
      <alignment horizontal="center" vertical="center"/>
    </xf>
    <xf numFmtId="0" fontId="0" fillId="0" borderId="122" xfId="0" applyBorder="1" applyAlignment="1">
      <alignment horizontal="center" vertical="center"/>
    </xf>
    <xf numFmtId="0" fontId="2" fillId="0" borderId="72" xfId="0" applyFont="1" applyBorder="1" applyAlignment="1">
      <alignment horizontal="center" vertical="center"/>
    </xf>
    <xf numFmtId="0" fontId="2" fillId="0" borderId="125" xfId="0" applyFont="1" applyBorder="1" applyAlignment="1">
      <alignment horizontal="center" vertical="center"/>
    </xf>
    <xf numFmtId="0" fontId="0" fillId="0" borderId="75" xfId="0" applyBorder="1" applyAlignment="1">
      <alignment horizontal="center" vertical="center"/>
    </xf>
    <xf numFmtId="0" fontId="0" fillId="0" borderId="120" xfId="0" applyBorder="1" applyAlignment="1">
      <alignment horizontal="center" vertical="center"/>
    </xf>
    <xf numFmtId="0" fontId="0" fillId="0" borderId="77" xfId="0" applyBorder="1" applyAlignment="1">
      <alignment horizontal="center" vertical="center"/>
    </xf>
    <xf numFmtId="0" fontId="0" fillId="0" borderId="67" xfId="0" applyBorder="1" applyAlignment="1">
      <alignment horizontal="center" vertical="center"/>
    </xf>
    <xf numFmtId="0" fontId="0" fillId="0" borderId="93" xfId="0" applyBorder="1" applyAlignment="1">
      <alignment horizontal="center" vertical="center"/>
    </xf>
    <xf numFmtId="0" fontId="0" fillId="0" borderId="76" xfId="0" applyBorder="1" applyAlignment="1">
      <alignment horizontal="center" vertical="center"/>
    </xf>
    <xf numFmtId="0" fontId="0" fillId="0" borderId="68" xfId="0" applyBorder="1" applyAlignment="1">
      <alignment horizontal="center" vertical="center"/>
    </xf>
    <xf numFmtId="0" fontId="2" fillId="0" borderId="75" xfId="0" applyFont="1" applyBorder="1" applyAlignment="1">
      <alignment horizontal="center" vertical="center"/>
    </xf>
    <xf numFmtId="0" fontId="2" fillId="0" borderId="67" xfId="0" applyFont="1" applyBorder="1" applyAlignment="1">
      <alignment horizontal="center" vertical="center"/>
    </xf>
    <xf numFmtId="0" fontId="5" fillId="0" borderId="84" xfId="0" applyFont="1" applyBorder="1" applyAlignment="1">
      <alignment horizontal="center" vertical="center"/>
    </xf>
    <xf numFmtId="0" fontId="5" fillId="0" borderId="113" xfId="0" applyFont="1" applyBorder="1" applyAlignment="1">
      <alignment horizontal="center" vertical="center"/>
    </xf>
    <xf numFmtId="0" fontId="2" fillId="0" borderId="60" xfId="0" applyFont="1" applyBorder="1" applyAlignment="1">
      <alignment horizontal="center" vertical="center"/>
    </xf>
    <xf numFmtId="0" fontId="2" fillId="0" borderId="82" xfId="0" applyFont="1" applyBorder="1" applyAlignment="1">
      <alignment horizontal="center" vertical="center"/>
    </xf>
    <xf numFmtId="0" fontId="2" fillId="0" borderId="47" xfId="0" applyFont="1" applyBorder="1" applyAlignment="1">
      <alignment horizontal="center" vertical="center"/>
    </xf>
    <xf numFmtId="0" fontId="5" fillId="0" borderId="103" xfId="0" applyFont="1" applyBorder="1" applyAlignment="1">
      <alignment horizontal="center" vertical="center"/>
    </xf>
    <xf numFmtId="0" fontId="2" fillId="0" borderId="84" xfId="0" applyFont="1" applyBorder="1" applyAlignment="1">
      <alignment horizontal="center" vertical="center"/>
    </xf>
    <xf numFmtId="0" fontId="0" fillId="0" borderId="114" xfId="0" applyBorder="1" applyAlignment="1">
      <alignment horizontal="center" vertical="center"/>
    </xf>
    <xf numFmtId="0" fontId="0" fillId="0" borderId="124" xfId="0" applyBorder="1" applyAlignment="1">
      <alignment horizontal="center" vertical="center"/>
    </xf>
    <xf numFmtId="0" fontId="2" fillId="0" borderId="96" xfId="0" applyFont="1" applyBorder="1" applyAlignment="1">
      <alignment horizontal="center" vertical="center"/>
    </xf>
    <xf numFmtId="0" fontId="2" fillId="0" borderId="111" xfId="0" applyFont="1" applyBorder="1" applyAlignment="1">
      <alignment horizontal="center" vertical="center"/>
    </xf>
    <xf numFmtId="0" fontId="2" fillId="0" borderId="119" xfId="0" applyFont="1" applyBorder="1" applyAlignment="1">
      <alignment horizontal="center" vertical="center"/>
    </xf>
    <xf numFmtId="0" fontId="0" fillId="0" borderId="96" xfId="0" applyBorder="1" applyAlignment="1">
      <alignment horizontal="center" vertical="center"/>
    </xf>
    <xf numFmtId="164" fontId="2" fillId="0" borderId="112" xfId="0" applyNumberFormat="1" applyFont="1" applyBorder="1" applyAlignment="1">
      <alignment horizontal="center" vertical="center"/>
    </xf>
    <xf numFmtId="164" fontId="5" fillId="0" borderId="113" xfId="0" applyNumberFormat="1" applyFont="1" applyBorder="1" applyAlignment="1">
      <alignment horizontal="center" vertical="center"/>
    </xf>
    <xf numFmtId="164" fontId="2" fillId="0" borderId="110" xfId="0" applyNumberFormat="1" applyFont="1" applyBorder="1" applyAlignment="1">
      <alignment horizontal="center" vertical="center"/>
    </xf>
    <xf numFmtId="164" fontId="2" fillId="0" borderId="82" xfId="0" applyNumberFormat="1" applyFont="1" applyBorder="1" applyAlignment="1">
      <alignment horizontal="center" vertical="center"/>
    </xf>
    <xf numFmtId="164" fontId="5" fillId="0" borderId="82" xfId="0" applyNumberFormat="1" applyFont="1" applyBorder="1" applyAlignment="1">
      <alignment horizontal="center" vertical="center"/>
    </xf>
    <xf numFmtId="164" fontId="2" fillId="0" borderId="109" xfId="0" applyNumberFormat="1" applyFont="1" applyBorder="1" applyAlignment="1">
      <alignment horizontal="center" vertical="center"/>
    </xf>
    <xf numFmtId="164" fontId="2" fillId="0" borderId="89" xfId="0" applyNumberFormat="1" applyFont="1" applyBorder="1" applyAlignment="1">
      <alignment horizontal="center" vertical="center"/>
    </xf>
    <xf numFmtId="0" fontId="2" fillId="0" borderId="46" xfId="0" applyFont="1" applyBorder="1" applyAlignment="1">
      <alignment horizontal="center" vertical="center"/>
    </xf>
    <xf numFmtId="164" fontId="5" fillId="0" borderId="89" xfId="0" applyNumberFormat="1" applyFont="1" applyBorder="1" applyAlignment="1">
      <alignment horizontal="center" vertical="center"/>
    </xf>
    <xf numFmtId="164" fontId="5" fillId="0" borderId="84" xfId="0" applyNumberFormat="1" applyFont="1" applyBorder="1" applyAlignment="1">
      <alignment horizontal="center" vertical="center"/>
    </xf>
    <xf numFmtId="164" fontId="2" fillId="0" borderId="16" xfId="0" applyNumberFormat="1" applyFont="1" applyBorder="1" applyAlignment="1">
      <alignment horizontal="center" vertical="center"/>
    </xf>
    <xf numFmtId="164" fontId="2" fillId="0" borderId="95" xfId="0" applyNumberFormat="1" applyFont="1" applyBorder="1" applyAlignment="1">
      <alignment horizontal="center" vertical="center"/>
    </xf>
    <xf numFmtId="164" fontId="2" fillId="0" borderId="87" xfId="0" applyNumberFormat="1" applyFont="1" applyBorder="1" applyAlignment="1">
      <alignment horizontal="center" vertical="center"/>
    </xf>
    <xf numFmtId="164" fontId="2" fillId="6" borderId="109" xfId="0" applyNumberFormat="1" applyFont="1" applyFill="1" applyBorder="1" applyAlignment="1">
      <alignment horizontal="center" vertical="center"/>
    </xf>
    <xf numFmtId="164" fontId="2" fillId="6" borderId="49" xfId="0" applyNumberFormat="1" applyFont="1" applyFill="1" applyBorder="1" applyAlignment="1">
      <alignment horizontal="center" vertical="center"/>
    </xf>
    <xf numFmtId="9" fontId="0" fillId="6" borderId="49" xfId="1" applyFont="1" applyFill="1" applyBorder="1" applyAlignment="1">
      <alignment horizontal="center" vertical="center"/>
    </xf>
    <xf numFmtId="164" fontId="2" fillId="4" borderId="109" xfId="0" applyNumberFormat="1" applyFont="1" applyFill="1" applyBorder="1" applyAlignment="1">
      <alignment horizontal="center" vertical="center"/>
    </xf>
    <xf numFmtId="164" fontId="2" fillId="4" borderId="49" xfId="0" applyNumberFormat="1" applyFont="1" applyFill="1" applyBorder="1" applyAlignment="1">
      <alignment horizontal="center" vertical="center"/>
    </xf>
    <xf numFmtId="9" fontId="0" fillId="4" borderId="49" xfId="1" applyFont="1" applyFill="1" applyBorder="1" applyAlignment="1">
      <alignment horizontal="center" vertical="center"/>
    </xf>
    <xf numFmtId="164" fontId="2" fillId="0" borderId="26" xfId="0" applyNumberFormat="1" applyFont="1" applyBorder="1" applyAlignment="1">
      <alignment horizontal="center" vertical="center"/>
    </xf>
    <xf numFmtId="164" fontId="2" fillId="0" borderId="5" xfId="0" applyNumberFormat="1" applyFont="1" applyBorder="1" applyAlignment="1">
      <alignment horizontal="center" vertical="center"/>
    </xf>
    <xf numFmtId="0" fontId="2" fillId="0" borderId="86" xfId="0" applyFont="1" applyBorder="1" applyAlignment="1">
      <alignment horizontal="center" vertical="center"/>
    </xf>
    <xf numFmtId="0" fontId="0" fillId="0" borderId="127" xfId="0" applyBorder="1" applyAlignment="1">
      <alignment horizontal="center" vertical="center"/>
    </xf>
    <xf numFmtId="0" fontId="0" fillId="0" borderId="128" xfId="0" applyBorder="1" applyAlignment="1">
      <alignment horizontal="center" vertical="center"/>
    </xf>
    <xf numFmtId="164" fontId="2" fillId="0" borderId="103" xfId="0" applyNumberFormat="1" applyFont="1" applyBorder="1" applyAlignment="1">
      <alignment horizontal="center" vertical="center"/>
    </xf>
    <xf numFmtId="0" fontId="2" fillId="0" borderId="121" xfId="0" applyFont="1" applyBorder="1" applyAlignment="1">
      <alignment horizontal="center" vertical="center"/>
    </xf>
    <xf numFmtId="0" fontId="2" fillId="0" borderId="122" xfId="0" applyFont="1" applyBorder="1" applyAlignment="1">
      <alignment horizontal="center" vertical="center"/>
    </xf>
    <xf numFmtId="0" fontId="2" fillId="0" borderId="93" xfId="0" applyFont="1" applyBorder="1" applyAlignment="1">
      <alignment horizontal="center" vertical="center"/>
    </xf>
    <xf numFmtId="0" fontId="2" fillId="0" borderId="103" xfId="0" applyFont="1" applyBorder="1" applyAlignment="1">
      <alignment horizontal="center" vertical="center"/>
    </xf>
    <xf numFmtId="0" fontId="2" fillId="0" borderId="124" xfId="0" applyFont="1" applyBorder="1" applyAlignment="1">
      <alignment horizontal="center" vertical="center"/>
    </xf>
    <xf numFmtId="164" fontId="2" fillId="0" borderId="47" xfId="0" applyNumberFormat="1" applyFont="1" applyBorder="1" applyAlignment="1">
      <alignment horizontal="center" vertical="center"/>
    </xf>
    <xf numFmtId="2" fontId="2" fillId="0" borderId="112" xfId="0" applyNumberFormat="1" applyFont="1" applyBorder="1" applyAlignment="1">
      <alignment horizontal="center" vertical="center"/>
    </xf>
    <xf numFmtId="164" fontId="2" fillId="0" borderId="104" xfId="0" applyNumberFormat="1" applyFont="1" applyBorder="1" applyAlignment="1">
      <alignment horizontal="center" vertical="center"/>
    </xf>
    <xf numFmtId="164" fontId="5" fillId="0" borderId="103" xfId="0" applyNumberFormat="1" applyFont="1" applyBorder="1" applyAlignment="1">
      <alignment horizontal="center" vertical="center"/>
    </xf>
    <xf numFmtId="0" fontId="2" fillId="0" borderId="87" xfId="0" applyFont="1" applyBorder="1" applyAlignment="1">
      <alignment horizontal="center" vertical="center"/>
    </xf>
    <xf numFmtId="164" fontId="2" fillId="6" borderId="47" xfId="0" applyNumberFormat="1" applyFont="1" applyFill="1" applyBorder="1" applyAlignment="1">
      <alignment horizontal="center" vertical="center"/>
    </xf>
    <xf numFmtId="164" fontId="2" fillId="0" borderId="54" xfId="0" applyNumberFormat="1" applyFont="1" applyBorder="1" applyAlignment="1">
      <alignment horizontal="center" vertical="center"/>
    </xf>
    <xf numFmtId="0" fontId="2" fillId="0" borderId="95" xfId="0" applyFont="1" applyBorder="1" applyAlignment="1">
      <alignment horizontal="center" vertical="center"/>
    </xf>
    <xf numFmtId="164" fontId="0" fillId="6" borderId="47" xfId="0" applyNumberFormat="1" applyFont="1" applyFill="1" applyBorder="1" applyAlignment="1">
      <alignment horizontal="center" vertical="center"/>
    </xf>
    <xf numFmtId="2" fontId="0" fillId="0" borderId="10" xfId="0" applyNumberFormat="1" applyBorder="1" applyAlignment="1">
      <alignment horizontal="center" vertical="center"/>
    </xf>
    <xf numFmtId="2" fontId="0" fillId="0" borderId="40" xfId="0" applyNumberFormat="1" applyBorder="1" applyAlignment="1">
      <alignment horizontal="center" vertical="center"/>
    </xf>
    <xf numFmtId="164" fontId="0" fillId="4" borderId="47" xfId="0" applyNumberFormat="1" applyFont="1" applyFill="1" applyBorder="1" applyAlignment="1">
      <alignment horizontal="center" vertical="center"/>
    </xf>
    <xf numFmtId="2" fontId="2" fillId="0" borderId="142" xfId="0" applyNumberFormat="1" applyFont="1" applyFill="1" applyBorder="1" applyAlignment="1">
      <alignment horizontal="center" vertical="center"/>
    </xf>
    <xf numFmtId="2" fontId="2" fillId="6" borderId="109" xfId="0" applyNumberFormat="1" applyFont="1" applyFill="1" applyBorder="1" applyAlignment="1">
      <alignment horizontal="center" vertical="center"/>
    </xf>
    <xf numFmtId="2" fontId="2" fillId="0" borderId="26" xfId="0" applyNumberFormat="1" applyFont="1" applyBorder="1" applyAlignment="1">
      <alignment horizontal="center" vertical="center"/>
    </xf>
    <xf numFmtId="2" fontId="2" fillId="0" borderId="110" xfId="0" applyNumberFormat="1" applyFont="1" applyBorder="1" applyAlignment="1">
      <alignment horizontal="center" vertical="center"/>
    </xf>
    <xf numFmtId="2" fontId="2" fillId="0" borderId="95" xfId="0" applyNumberFormat="1" applyFont="1" applyBorder="1" applyAlignment="1">
      <alignment horizontal="center" vertical="center"/>
    </xf>
    <xf numFmtId="2" fontId="2" fillId="4" borderId="109" xfId="0" applyNumberFormat="1" applyFont="1" applyFill="1" applyBorder="1" applyAlignment="1">
      <alignment horizontal="center" vertical="center"/>
    </xf>
    <xf numFmtId="164" fontId="2" fillId="4" borderId="50" xfId="0" applyNumberFormat="1" applyFont="1" applyFill="1" applyBorder="1" applyAlignment="1">
      <alignment horizontal="center" vertical="center"/>
    </xf>
    <xf numFmtId="164" fontId="2" fillId="4" borderId="46" xfId="0" applyNumberFormat="1" applyFont="1" applyFill="1" applyBorder="1" applyAlignment="1">
      <alignment horizontal="center" vertical="center"/>
    </xf>
    <xf numFmtId="164" fontId="2" fillId="0" borderId="22" xfId="0" applyNumberFormat="1" applyFont="1" applyBorder="1" applyAlignment="1">
      <alignment horizontal="center" vertical="center"/>
    </xf>
    <xf numFmtId="164" fontId="2" fillId="0" borderId="28" xfId="0" applyNumberFormat="1" applyFont="1" applyBorder="1" applyAlignment="1">
      <alignment horizontal="center" vertical="center"/>
    </xf>
    <xf numFmtId="164" fontId="2" fillId="6" borderId="50" xfId="0" applyNumberFormat="1" applyFont="1" applyFill="1" applyBorder="1" applyAlignment="1">
      <alignment horizontal="center" vertical="center"/>
    </xf>
    <xf numFmtId="164" fontId="2" fillId="6" borderId="46" xfId="0" applyNumberFormat="1" applyFont="1" applyFill="1" applyBorder="1" applyAlignment="1">
      <alignment horizontal="center" vertical="center"/>
    </xf>
    <xf numFmtId="164" fontId="2" fillId="0" borderId="4" xfId="0" applyNumberFormat="1" applyFont="1" applyBorder="1" applyAlignment="1">
      <alignment horizontal="center" vertical="center"/>
    </xf>
    <xf numFmtId="0" fontId="3" fillId="0" borderId="19" xfId="0" applyFont="1" applyFill="1" applyBorder="1" applyAlignment="1">
      <alignment horizontal="center" vertical="center"/>
    </xf>
    <xf numFmtId="9" fontId="0" fillId="0" borderId="50" xfId="1" applyFont="1" applyBorder="1" applyAlignment="1">
      <alignment horizontal="center" vertical="center"/>
    </xf>
    <xf numFmtId="2" fontId="0" fillId="0" borderId="42" xfId="0" applyNumberFormat="1" applyBorder="1" applyAlignment="1">
      <alignment horizontal="center" vertical="center"/>
    </xf>
    <xf numFmtId="2" fontId="0" fillId="6" borderId="50" xfId="1" applyNumberFormat="1" applyFont="1" applyFill="1" applyBorder="1" applyAlignment="1">
      <alignment horizontal="center" vertical="center"/>
    </xf>
    <xf numFmtId="2" fontId="0" fillId="4" borderId="50" xfId="1" applyNumberFormat="1" applyFont="1" applyFill="1" applyBorder="1" applyAlignment="1">
      <alignment horizontal="center" vertical="center"/>
    </xf>
    <xf numFmtId="0" fontId="0" fillId="7" borderId="46" xfId="0" applyFill="1" applyBorder="1" applyAlignment="1">
      <alignment horizontal="center" vertical="center"/>
    </xf>
    <xf numFmtId="0" fontId="0" fillId="7" borderId="48" xfId="0" applyFill="1" applyBorder="1" applyAlignment="1">
      <alignment horizontal="center" vertical="center"/>
    </xf>
    <xf numFmtId="0" fontId="5" fillId="7" borderId="49" xfId="0" applyFont="1" applyFill="1" applyBorder="1" applyAlignment="1">
      <alignment horizontal="center" vertical="center"/>
    </xf>
    <xf numFmtId="0" fontId="0" fillId="7" borderId="50" xfId="0" applyFill="1" applyBorder="1" applyAlignment="1">
      <alignment horizontal="center" vertical="center"/>
    </xf>
    <xf numFmtId="0" fontId="0" fillId="7" borderId="89" xfId="0" applyFill="1" applyBorder="1" applyAlignment="1">
      <alignment horizontal="center" vertical="center"/>
    </xf>
    <xf numFmtId="0" fontId="0" fillId="7" borderId="49" xfId="0" applyFill="1" applyBorder="1" applyAlignment="1">
      <alignment horizontal="center" vertical="center"/>
    </xf>
    <xf numFmtId="2" fontId="2" fillId="7" borderId="109" xfId="0" applyNumberFormat="1" applyFont="1" applyFill="1" applyBorder="1" applyAlignment="1">
      <alignment horizontal="center" vertical="center"/>
    </xf>
    <xf numFmtId="164" fontId="2" fillId="7" borderId="50" xfId="0" applyNumberFormat="1" applyFont="1" applyFill="1" applyBorder="1" applyAlignment="1">
      <alignment horizontal="center" vertical="center"/>
    </xf>
    <xf numFmtId="164" fontId="2" fillId="7" borderId="46" xfId="0" applyNumberFormat="1" applyFont="1" applyFill="1" applyBorder="1" applyAlignment="1">
      <alignment horizontal="center" vertical="center"/>
    </xf>
    <xf numFmtId="164" fontId="0" fillId="7" borderId="47" xfId="0" applyNumberFormat="1" applyFont="1" applyFill="1" applyBorder="1" applyAlignment="1">
      <alignment horizontal="center" vertical="center"/>
    </xf>
    <xf numFmtId="0" fontId="2" fillId="7" borderId="50" xfId="0" applyFont="1" applyFill="1" applyBorder="1" applyAlignment="1">
      <alignment horizontal="center" vertical="center"/>
    </xf>
    <xf numFmtId="164" fontId="2" fillId="7" borderId="49" xfId="0" applyNumberFormat="1" applyFont="1" applyFill="1" applyBorder="1" applyAlignment="1">
      <alignment horizontal="center" vertical="center"/>
    </xf>
    <xf numFmtId="9" fontId="0" fillId="7" borderId="49" xfId="1" applyFont="1" applyFill="1" applyBorder="1" applyAlignment="1">
      <alignment horizontal="center" vertical="center"/>
    </xf>
    <xf numFmtId="2" fontId="0" fillId="7" borderId="50" xfId="1" applyNumberFormat="1" applyFont="1" applyFill="1" applyBorder="1" applyAlignment="1">
      <alignment horizontal="center" vertical="center"/>
    </xf>
    <xf numFmtId="0" fontId="0" fillId="7" borderId="0" xfId="0" applyFill="1"/>
    <xf numFmtId="0" fontId="0" fillId="6" borderId="49" xfId="0" applyFont="1" applyFill="1" applyBorder="1" applyAlignment="1">
      <alignment horizontal="center" vertical="center"/>
    </xf>
    <xf numFmtId="0" fontId="0" fillId="6" borderId="55" xfId="0" applyFill="1" applyBorder="1" applyAlignment="1">
      <alignment horizontal="center" vertical="center"/>
    </xf>
    <xf numFmtId="0" fontId="0" fillId="6" borderId="56" xfId="0" applyFont="1" applyFill="1" applyBorder="1" applyAlignment="1">
      <alignment horizontal="center" vertical="center"/>
    </xf>
    <xf numFmtId="0" fontId="0" fillId="6" borderId="140" xfId="0" applyFill="1" applyBorder="1" applyAlignment="1">
      <alignment horizontal="center" vertical="center"/>
    </xf>
    <xf numFmtId="0" fontId="0" fillId="8" borderId="46" xfId="0" applyFill="1" applyBorder="1" applyAlignment="1">
      <alignment horizontal="center" vertical="center"/>
    </xf>
    <xf numFmtId="0" fontId="0" fillId="8" borderId="48" xfId="0" applyFill="1" applyBorder="1" applyAlignment="1">
      <alignment horizontal="center" vertical="center"/>
    </xf>
    <xf numFmtId="0" fontId="0" fillId="8" borderId="49" xfId="0" applyFont="1" applyFill="1" applyBorder="1" applyAlignment="1">
      <alignment horizontal="center" vertical="center"/>
    </xf>
    <xf numFmtId="0" fontId="0" fillId="8" borderId="50" xfId="0" applyFill="1" applyBorder="1" applyAlignment="1">
      <alignment horizontal="center" vertical="center"/>
    </xf>
    <xf numFmtId="0" fontId="0" fillId="8" borderId="89" xfId="0" applyFill="1" applyBorder="1" applyAlignment="1">
      <alignment horizontal="center" vertical="center"/>
    </xf>
    <xf numFmtId="0" fontId="0" fillId="8" borderId="55" xfId="0" applyFill="1" applyBorder="1" applyAlignment="1">
      <alignment horizontal="center" vertical="center"/>
    </xf>
    <xf numFmtId="0" fontId="0" fillId="8" borderId="56" xfId="0" applyFont="1" applyFill="1" applyBorder="1" applyAlignment="1">
      <alignment horizontal="center" vertical="center"/>
    </xf>
    <xf numFmtId="0" fontId="0" fillId="8" borderId="140" xfId="0" applyFill="1" applyBorder="1" applyAlignment="1">
      <alignment horizontal="center" vertical="center"/>
    </xf>
    <xf numFmtId="0" fontId="0" fillId="8" borderId="49" xfId="0" applyFill="1" applyBorder="1" applyAlignment="1">
      <alignment horizontal="center" vertical="center"/>
    </xf>
    <xf numFmtId="2" fontId="2" fillId="8" borderId="109" xfId="0" applyNumberFormat="1" applyFont="1" applyFill="1" applyBorder="1" applyAlignment="1">
      <alignment horizontal="center" vertical="center"/>
    </xf>
    <xf numFmtId="164" fontId="0" fillId="8" borderId="47" xfId="0" applyNumberFormat="1" applyFont="1" applyFill="1" applyBorder="1" applyAlignment="1">
      <alignment horizontal="center" vertical="center"/>
    </xf>
    <xf numFmtId="0" fontId="2" fillId="8" borderId="50" xfId="0" applyFont="1" applyFill="1" applyBorder="1" applyAlignment="1">
      <alignment horizontal="center" vertical="center"/>
    </xf>
    <xf numFmtId="164" fontId="2" fillId="8" borderId="49" xfId="0" applyNumberFormat="1" applyFont="1" applyFill="1" applyBorder="1" applyAlignment="1">
      <alignment horizontal="center" vertical="center"/>
    </xf>
    <xf numFmtId="9" fontId="0" fillId="8" borderId="49" xfId="1" applyFont="1" applyFill="1" applyBorder="1" applyAlignment="1">
      <alignment horizontal="center" vertical="center"/>
    </xf>
    <xf numFmtId="2" fontId="0" fillId="8" borderId="50" xfId="1" applyNumberFormat="1" applyFont="1" applyFill="1" applyBorder="1" applyAlignment="1">
      <alignment horizontal="center" vertical="center"/>
    </xf>
    <xf numFmtId="0" fontId="0" fillId="8" borderId="0" xfId="0" applyFill="1"/>
    <xf numFmtId="0" fontId="0" fillId="0" borderId="143" xfId="0" applyBorder="1" applyAlignment="1">
      <alignment horizontal="center" vertical="center"/>
    </xf>
    <xf numFmtId="0" fontId="0" fillId="0" borderId="144" xfId="0" applyBorder="1" applyAlignment="1">
      <alignment horizontal="center" vertical="center"/>
    </xf>
    <xf numFmtId="0" fontId="0" fillId="0" borderId="145" xfId="0" applyBorder="1" applyAlignment="1">
      <alignment horizontal="center" vertical="center"/>
    </xf>
    <xf numFmtId="2" fontId="0" fillId="6" borderId="47" xfId="1" applyNumberFormat="1" applyFont="1" applyFill="1" applyBorder="1" applyAlignment="1">
      <alignment horizontal="center" vertical="center"/>
    </xf>
    <xf numFmtId="2" fontId="0" fillId="0" borderId="39" xfId="0" applyNumberFormat="1" applyBorder="1" applyAlignment="1">
      <alignment horizontal="center" vertical="center"/>
    </xf>
    <xf numFmtId="2" fontId="0" fillId="4" borderId="47" xfId="1" applyNumberFormat="1" applyFont="1" applyFill="1" applyBorder="1" applyAlignment="1">
      <alignment horizontal="center" vertical="center"/>
    </xf>
    <xf numFmtId="2" fontId="0" fillId="7" borderId="47" xfId="1" applyNumberFormat="1" applyFont="1" applyFill="1" applyBorder="1" applyAlignment="1">
      <alignment horizontal="center" vertical="center"/>
    </xf>
    <xf numFmtId="2" fontId="0" fillId="8" borderId="47" xfId="1" applyNumberFormat="1" applyFont="1" applyFill="1" applyBorder="1" applyAlignment="1">
      <alignment horizontal="center" vertical="center"/>
    </xf>
    <xf numFmtId="2" fontId="2" fillId="0" borderId="109" xfId="0" applyNumberFormat="1" applyFont="1" applyBorder="1" applyAlignment="1">
      <alignment horizontal="center" vertical="center"/>
    </xf>
    <xf numFmtId="2" fontId="0" fillId="0" borderId="105" xfId="0" applyNumberFormat="1" applyBorder="1" applyAlignment="1">
      <alignment horizontal="center" vertical="center"/>
    </xf>
    <xf numFmtId="2" fontId="0" fillId="4" borderId="55" xfId="0" applyNumberFormat="1" applyFill="1" applyBorder="1" applyAlignment="1">
      <alignment horizontal="center" vertical="center"/>
    </xf>
    <xf numFmtId="0" fontId="2" fillId="0" borderId="28" xfId="0" applyFont="1" applyBorder="1" applyAlignment="1">
      <alignment horizontal="center" vertical="center"/>
    </xf>
    <xf numFmtId="0" fontId="2" fillId="6" borderId="46" xfId="0" applyFont="1" applyFill="1" applyBorder="1" applyAlignment="1">
      <alignment horizontal="center" vertical="center"/>
    </xf>
    <xf numFmtId="0" fontId="2" fillId="6" borderId="89" xfId="0" applyFont="1" applyFill="1" applyBorder="1" applyAlignment="1">
      <alignment horizontal="center" vertical="center"/>
    </xf>
    <xf numFmtId="0" fontId="2" fillId="6" borderId="49" xfId="0" applyFont="1" applyFill="1" applyBorder="1" applyAlignment="1">
      <alignment horizontal="center" vertical="center"/>
    </xf>
    <xf numFmtId="0" fontId="2" fillId="0" borderId="94" xfId="0" applyFont="1" applyBorder="1" applyAlignment="1">
      <alignment horizontal="center" vertical="center"/>
    </xf>
    <xf numFmtId="0" fontId="2" fillId="0" borderId="78" xfId="0" applyFont="1" applyBorder="1" applyAlignment="1">
      <alignment horizontal="center" vertical="center"/>
    </xf>
    <xf numFmtId="0" fontId="2" fillId="0" borderId="138" xfId="0" applyFont="1" applyBorder="1" applyAlignment="1">
      <alignment horizontal="center" vertical="center"/>
    </xf>
    <xf numFmtId="0" fontId="2" fillId="0" borderId="105" xfId="0" applyFont="1" applyBorder="1" applyAlignment="1">
      <alignment horizontal="center" vertical="center"/>
    </xf>
    <xf numFmtId="0" fontId="2" fillId="0" borderId="139" xfId="0" applyFont="1" applyBorder="1" applyAlignment="1">
      <alignment horizontal="center" vertical="center"/>
    </xf>
    <xf numFmtId="0" fontId="2" fillId="0" borderId="39" xfId="0" applyFont="1" applyBorder="1" applyAlignment="1">
      <alignment horizontal="center" vertical="center"/>
    </xf>
    <xf numFmtId="0" fontId="2" fillId="4" borderId="140" xfId="0" applyFont="1" applyFill="1" applyBorder="1" applyAlignment="1">
      <alignment horizontal="center" vertical="center"/>
    </xf>
    <xf numFmtId="0" fontId="2" fillId="4" borderId="55" xfId="0" applyFont="1" applyFill="1" applyBorder="1" applyAlignment="1">
      <alignment horizontal="center" vertical="center"/>
    </xf>
    <xf numFmtId="0" fontId="2" fillId="4" borderId="46" xfId="0" applyFont="1" applyFill="1" applyBorder="1" applyAlignment="1">
      <alignment horizontal="center" vertical="center"/>
    </xf>
    <xf numFmtId="0" fontId="2" fillId="4" borderId="89" xfId="0" applyFont="1" applyFill="1" applyBorder="1" applyAlignment="1">
      <alignment horizontal="center" vertical="center"/>
    </xf>
    <xf numFmtId="0" fontId="2" fillId="0" borderId="40" xfId="0" applyFont="1" applyBorder="1" applyAlignment="1">
      <alignment horizontal="center" vertical="center"/>
    </xf>
    <xf numFmtId="0" fontId="2" fillId="0" borderId="123" xfId="0" applyFont="1" applyBorder="1" applyAlignment="1">
      <alignment horizontal="center" vertical="center"/>
    </xf>
    <xf numFmtId="0" fontId="2" fillId="0" borderId="92" xfId="0" applyFont="1" applyBorder="1" applyAlignment="1">
      <alignment horizontal="center" vertical="center"/>
    </xf>
    <xf numFmtId="0" fontId="2" fillId="0" borderId="44" xfId="0" applyFont="1" applyBorder="1" applyAlignment="1">
      <alignment horizontal="center" vertical="center"/>
    </xf>
    <xf numFmtId="0" fontId="2" fillId="0" borderId="38" xfId="0" applyFont="1" applyBorder="1" applyAlignment="1">
      <alignment horizontal="center" vertical="center"/>
    </xf>
    <xf numFmtId="0" fontId="2" fillId="6" borderId="55" xfId="0" applyFont="1" applyFill="1" applyBorder="1" applyAlignment="1">
      <alignment horizontal="center" vertical="center"/>
    </xf>
    <xf numFmtId="0" fontId="2" fillId="6" borderId="56" xfId="0" applyFont="1" applyFill="1" applyBorder="1" applyAlignment="1">
      <alignment horizontal="center" vertical="center"/>
    </xf>
    <xf numFmtId="0" fontId="2" fillId="6" borderId="140" xfId="0" applyFont="1" applyFill="1" applyBorder="1" applyAlignment="1">
      <alignment horizontal="center" vertical="center"/>
    </xf>
    <xf numFmtId="0" fontId="2" fillId="8" borderId="46" xfId="0" applyFont="1" applyFill="1" applyBorder="1" applyAlignment="1">
      <alignment horizontal="center" vertical="center"/>
    </xf>
    <xf numFmtId="0" fontId="2" fillId="8" borderId="89" xfId="0" applyFont="1" applyFill="1" applyBorder="1" applyAlignment="1">
      <alignment horizontal="center" vertical="center"/>
    </xf>
    <xf numFmtId="0" fontId="2" fillId="8" borderId="55" xfId="0" applyFont="1" applyFill="1" applyBorder="1" applyAlignment="1">
      <alignment horizontal="center" vertical="center"/>
    </xf>
    <xf numFmtId="0" fontId="2" fillId="8" borderId="56" xfId="0" applyFont="1" applyFill="1" applyBorder="1" applyAlignment="1">
      <alignment horizontal="center" vertical="center"/>
    </xf>
    <xf numFmtId="0" fontId="2" fillId="8" borderId="140" xfId="0" applyFont="1" applyFill="1" applyBorder="1" applyAlignment="1">
      <alignment horizontal="center" vertical="center"/>
    </xf>
    <xf numFmtId="0" fontId="2" fillId="7" borderId="46" xfId="0" applyFont="1" applyFill="1" applyBorder="1" applyAlignment="1">
      <alignment horizontal="center" vertical="center"/>
    </xf>
    <xf numFmtId="0" fontId="2" fillId="7" borderId="89" xfId="0" applyFont="1" applyFill="1" applyBorder="1" applyAlignment="1">
      <alignment horizontal="center" vertical="center"/>
    </xf>
    <xf numFmtId="0" fontId="2" fillId="7" borderId="49" xfId="0" applyFont="1" applyFill="1" applyBorder="1" applyAlignment="1">
      <alignment horizontal="center" vertical="center"/>
    </xf>
    <xf numFmtId="0" fontId="2" fillId="6" borderId="109" xfId="0" applyFont="1" applyFill="1" applyBorder="1" applyAlignment="1">
      <alignment horizontal="center" vertical="center"/>
    </xf>
    <xf numFmtId="0" fontId="2" fillId="4" borderId="138" xfId="0" applyFont="1" applyFill="1" applyBorder="1" applyAlignment="1">
      <alignment horizontal="center" vertical="center"/>
    </xf>
    <xf numFmtId="0" fontId="2" fillId="4" borderId="109" xfId="0" applyFont="1" applyFill="1" applyBorder="1" applyAlignment="1">
      <alignment horizontal="center" vertical="center"/>
    </xf>
    <xf numFmtId="0" fontId="2" fillId="7" borderId="109" xfId="0" applyFont="1" applyFill="1" applyBorder="1" applyAlignment="1">
      <alignment horizontal="center" vertical="center"/>
    </xf>
    <xf numFmtId="0" fontId="2" fillId="0" borderId="26" xfId="0" applyFont="1" applyBorder="1" applyAlignment="1">
      <alignment horizontal="center" vertical="center"/>
    </xf>
    <xf numFmtId="0" fontId="2" fillId="8" borderId="109" xfId="0" applyFont="1" applyFill="1" applyBorder="1" applyAlignment="1">
      <alignment horizontal="center" vertical="center"/>
    </xf>
    <xf numFmtId="0" fontId="2" fillId="8" borderId="49" xfId="0" applyFont="1" applyFill="1" applyBorder="1" applyAlignment="1">
      <alignment horizontal="center" vertical="center"/>
    </xf>
    <xf numFmtId="164" fontId="2" fillId="0" borderId="106" xfId="0" applyNumberFormat="1" applyFont="1" applyBorder="1" applyAlignment="1">
      <alignment horizontal="center" vertical="center"/>
    </xf>
    <xf numFmtId="164" fontId="2" fillId="0" borderId="108" xfId="0" applyNumberFormat="1" applyFont="1" applyBorder="1" applyAlignment="1">
      <alignment horizontal="center" vertical="center"/>
    </xf>
    <xf numFmtId="164" fontId="2" fillId="0" borderId="36" xfId="0" applyNumberFormat="1" applyFont="1" applyBorder="1" applyAlignment="1">
      <alignment horizontal="center" vertical="center"/>
    </xf>
    <xf numFmtId="164" fontId="2" fillId="0" borderId="38" xfId="0" applyNumberFormat="1" applyFont="1" applyBorder="1" applyAlignment="1">
      <alignment horizontal="center" vertical="center"/>
    </xf>
    <xf numFmtId="164" fontId="2" fillId="0" borderId="10" xfId="0" applyNumberFormat="1" applyFont="1" applyBorder="1" applyAlignment="1">
      <alignment horizontal="center" vertical="center"/>
    </xf>
    <xf numFmtId="164" fontId="2" fillId="0" borderId="40" xfId="0" applyNumberFormat="1" applyFont="1" applyBorder="1" applyAlignment="1">
      <alignment horizontal="center" vertical="center"/>
    </xf>
    <xf numFmtId="164" fontId="2" fillId="0" borderId="102" xfId="0" applyNumberFormat="1" applyFont="1" applyBorder="1" applyAlignment="1">
      <alignment horizontal="center" vertical="center"/>
    </xf>
    <xf numFmtId="164" fontId="2" fillId="0" borderId="137" xfId="0" applyNumberFormat="1" applyFont="1" applyBorder="1" applyAlignment="1">
      <alignment horizontal="center" vertical="center"/>
    </xf>
    <xf numFmtId="164" fontId="2" fillId="8" borderId="57" xfId="0" applyNumberFormat="1" applyFont="1" applyFill="1" applyBorder="1" applyAlignment="1">
      <alignment horizontal="center" vertical="center"/>
    </xf>
    <xf numFmtId="164" fontId="2" fillId="8" borderId="58" xfId="0" applyNumberFormat="1" applyFont="1" applyFill="1" applyBorder="1" applyAlignment="1">
      <alignment horizontal="center" vertical="center"/>
    </xf>
    <xf numFmtId="165" fontId="2" fillId="0" borderId="26" xfId="0" applyNumberFormat="1" applyFont="1" applyBorder="1" applyAlignment="1">
      <alignment horizontal="center" vertical="center"/>
    </xf>
    <xf numFmtId="164" fontId="2" fillId="8" borderId="56" xfId="0" applyNumberFormat="1" applyFont="1" applyFill="1" applyBorder="1" applyAlignment="1">
      <alignment horizontal="center" vertical="center"/>
    </xf>
    <xf numFmtId="9" fontId="2" fillId="6" borderId="49" xfId="1" applyFont="1" applyFill="1" applyBorder="1" applyAlignment="1">
      <alignment horizontal="center" vertical="center"/>
    </xf>
    <xf numFmtId="9" fontId="2" fillId="4" borderId="49" xfId="1" applyFont="1" applyFill="1" applyBorder="1" applyAlignment="1">
      <alignment horizontal="center" vertical="center"/>
    </xf>
    <xf numFmtId="9" fontId="2" fillId="7" borderId="49" xfId="1" applyFont="1" applyFill="1" applyBorder="1" applyAlignment="1">
      <alignment horizontal="center" vertical="center"/>
    </xf>
    <xf numFmtId="0" fontId="2" fillId="0" borderId="36" xfId="0" applyFont="1" applyBorder="1" applyAlignment="1">
      <alignment horizontal="center" vertical="center"/>
    </xf>
    <xf numFmtId="164" fontId="5" fillId="6" borderId="49" xfId="0" applyNumberFormat="1" applyFont="1" applyFill="1" applyBorder="1" applyAlignment="1">
      <alignment horizontal="center" vertical="center"/>
    </xf>
    <xf numFmtId="0" fontId="0" fillId="8" borderId="47" xfId="0" applyFill="1" applyBorder="1" applyAlignment="1">
      <alignment horizontal="center" vertical="center"/>
    </xf>
    <xf numFmtId="0" fontId="2" fillId="0" borderId="42" xfId="0" applyFont="1" applyBorder="1" applyAlignment="1">
      <alignment horizontal="center" vertical="center"/>
    </xf>
    <xf numFmtId="0" fontId="2" fillId="0" borderId="107" xfId="0" applyFont="1" applyBorder="1" applyAlignment="1">
      <alignment horizontal="center" vertical="center"/>
    </xf>
    <xf numFmtId="2" fontId="2" fillId="6" borderId="49" xfId="1" applyNumberFormat="1" applyFont="1" applyFill="1" applyBorder="1" applyAlignment="1">
      <alignment horizontal="center" vertical="center"/>
    </xf>
    <xf numFmtId="2" fontId="0" fillId="0" borderId="0" xfId="0" applyNumberFormat="1"/>
    <xf numFmtId="0" fontId="0" fillId="0" borderId="63" xfId="0" applyBorder="1" applyAlignment="1">
      <alignment horizontal="center" vertical="center"/>
    </xf>
    <xf numFmtId="0" fontId="0" fillId="0" borderId="32" xfId="0" applyBorder="1" applyAlignment="1">
      <alignment horizontal="center" vertical="center"/>
    </xf>
    <xf numFmtId="0" fontId="0" fillId="0" borderId="29" xfId="0" applyFill="1" applyBorder="1" applyAlignment="1">
      <alignment horizontal="center" vertical="center"/>
    </xf>
    <xf numFmtId="0" fontId="0" fillId="0" borderId="1" xfId="0" applyFill="1" applyBorder="1" applyAlignment="1">
      <alignment horizontal="center" vertical="center"/>
    </xf>
    <xf numFmtId="0" fontId="0" fillId="0" borderId="4" xfId="0" applyFill="1" applyBorder="1" applyAlignment="1">
      <alignment horizontal="center" vertical="center"/>
    </xf>
    <xf numFmtId="0" fontId="0" fillId="0" borderId="4" xfId="0" applyFont="1" applyFill="1" applyBorder="1" applyAlignment="1">
      <alignment horizontal="center" vertical="center"/>
    </xf>
    <xf numFmtId="0" fontId="0" fillId="0" borderId="81" xfId="0" applyBorder="1" applyAlignment="1">
      <alignment horizontal="center"/>
    </xf>
    <xf numFmtId="0" fontId="0" fillId="0" borderId="1" xfId="0" applyBorder="1" applyAlignment="1">
      <alignment horizontal="center"/>
    </xf>
    <xf numFmtId="0" fontId="0" fillId="0" borderId="4" xfId="0" applyBorder="1" applyAlignment="1">
      <alignment horizontal="center"/>
    </xf>
    <xf numFmtId="0" fontId="0" fillId="0" borderId="29" xfId="0" applyBorder="1" applyAlignment="1">
      <alignment horizontal="center"/>
    </xf>
    <xf numFmtId="0" fontId="0" fillId="0" borderId="125" xfId="0" applyBorder="1" applyAlignment="1">
      <alignment horizontal="center"/>
    </xf>
    <xf numFmtId="0" fontId="1" fillId="0" borderId="25" xfId="0" applyFont="1" applyBorder="1" applyAlignment="1">
      <alignment vertical="center"/>
    </xf>
    <xf numFmtId="0" fontId="0" fillId="0" borderId="25" xfId="0" applyBorder="1"/>
    <xf numFmtId="0" fontId="5" fillId="0" borderId="25" xfId="0" applyFont="1" applyBorder="1"/>
    <xf numFmtId="0" fontId="4" fillId="0" borderId="25" xfId="0" applyFont="1" applyBorder="1" applyAlignment="1">
      <alignment horizontal="center"/>
    </xf>
    <xf numFmtId="0" fontId="4" fillId="3" borderId="25" xfId="0" applyFont="1" applyFill="1" applyBorder="1" applyAlignment="1">
      <alignment horizontal="center"/>
    </xf>
    <xf numFmtId="2" fontId="0" fillId="0" borderId="51" xfId="1" applyNumberFormat="1" applyFont="1" applyBorder="1" applyAlignment="1">
      <alignment horizontal="center" vertical="center"/>
    </xf>
    <xf numFmtId="0" fontId="0" fillId="0" borderId="150" xfId="0" applyBorder="1" applyAlignment="1">
      <alignment horizontal="center" vertical="center"/>
    </xf>
    <xf numFmtId="0" fontId="0" fillId="0" borderId="151" xfId="0" applyBorder="1" applyAlignment="1">
      <alignment horizontal="center" vertical="center"/>
    </xf>
    <xf numFmtId="0" fontId="0" fillId="0" borderId="152" xfId="0" applyBorder="1" applyAlignment="1">
      <alignment horizontal="center" vertical="center"/>
    </xf>
    <xf numFmtId="0" fontId="0" fillId="0" borderId="153" xfId="0" applyBorder="1" applyAlignment="1">
      <alignment horizontal="center" vertical="center"/>
    </xf>
    <xf numFmtId="0" fontId="0" fillId="0" borderId="154" xfId="0" applyBorder="1" applyAlignment="1">
      <alignment horizontal="center" vertical="center"/>
    </xf>
    <xf numFmtId="0" fontId="0" fillId="0" borderId="155" xfId="0" applyBorder="1" applyAlignment="1">
      <alignment horizontal="center" vertical="center"/>
    </xf>
    <xf numFmtId="2" fontId="0" fillId="0" borderId="33" xfId="1" applyNumberFormat="1" applyFont="1" applyBorder="1" applyAlignment="1">
      <alignment horizontal="center" vertical="center"/>
    </xf>
    <xf numFmtId="0" fontId="3" fillId="0" borderId="34" xfId="0" applyFont="1" applyFill="1" applyBorder="1" applyAlignment="1">
      <alignment horizontal="center" vertical="center"/>
    </xf>
    <xf numFmtId="0" fontId="3" fillId="0" borderId="34" xfId="0" applyFont="1" applyBorder="1" applyAlignment="1">
      <alignment horizontal="center" vertical="center"/>
    </xf>
    <xf numFmtId="0" fontId="0" fillId="2" borderId="0" xfId="0" applyFill="1"/>
    <xf numFmtId="2" fontId="0" fillId="0" borderId="5" xfId="0" applyNumberFormat="1" applyBorder="1" applyAlignment="1">
      <alignment horizontal="center" vertical="center"/>
    </xf>
    <xf numFmtId="0" fontId="0" fillId="0" borderId="104" xfId="0" applyFill="1" applyBorder="1" applyAlignment="1">
      <alignment horizontal="center" vertical="center"/>
    </xf>
    <xf numFmtId="0" fontId="0" fillId="0" borderId="3" xfId="0" applyFill="1" applyBorder="1" applyAlignment="1">
      <alignment horizontal="center" vertical="center"/>
    </xf>
    <xf numFmtId="0" fontId="0" fillId="0" borderId="5" xfId="0" applyFill="1" applyBorder="1" applyAlignment="1">
      <alignment horizontal="center" vertical="center"/>
    </xf>
    <xf numFmtId="0" fontId="0" fillId="0" borderId="8" xfId="0" applyFont="1" applyFill="1" applyBorder="1" applyAlignment="1">
      <alignment horizontal="center" vertical="center"/>
    </xf>
    <xf numFmtId="2" fontId="2" fillId="0" borderId="60" xfId="0" applyNumberFormat="1" applyFont="1" applyBorder="1" applyAlignment="1">
      <alignment horizontal="center" vertical="center"/>
    </xf>
    <xf numFmtId="2" fontId="2" fillId="0" borderId="15" xfId="0" applyNumberFormat="1" applyFont="1" applyBorder="1" applyAlignment="1">
      <alignment horizontal="center" vertical="center"/>
    </xf>
    <xf numFmtId="0" fontId="0" fillId="0" borderId="0" xfId="0" applyAlignment="1">
      <alignment horizontal="center" vertical="center"/>
    </xf>
    <xf numFmtId="164" fontId="0" fillId="4" borderId="50" xfId="0" applyNumberFormat="1" applyFill="1" applyBorder="1" applyAlignment="1">
      <alignment horizontal="center" vertical="center"/>
    </xf>
    <xf numFmtId="164" fontId="0" fillId="0" borderId="0" xfId="0" applyNumberFormat="1" applyAlignment="1">
      <alignment horizontal="center"/>
    </xf>
    <xf numFmtId="0" fontId="0" fillId="0" borderId="1" xfId="0" applyFill="1" applyBorder="1" applyAlignment="1">
      <alignment horizontal="center" vertical="center"/>
    </xf>
    <xf numFmtId="0" fontId="0" fillId="6" borderId="61" xfId="0" applyFill="1" applyBorder="1" applyAlignment="1">
      <alignment horizontal="center" vertical="center"/>
    </xf>
    <xf numFmtId="0" fontId="0" fillId="6" borderId="91" xfId="0" applyFill="1" applyBorder="1" applyAlignment="1">
      <alignment horizontal="center" vertical="center"/>
    </xf>
    <xf numFmtId="0" fontId="0" fillId="6" borderId="99" xfId="0" applyFont="1" applyFill="1" applyBorder="1" applyAlignment="1">
      <alignment horizontal="center" vertical="center"/>
    </xf>
    <xf numFmtId="0" fontId="0" fillId="6" borderId="99" xfId="0" applyFill="1" applyBorder="1" applyAlignment="1">
      <alignment horizontal="center" vertical="center"/>
    </xf>
    <xf numFmtId="0" fontId="0" fillId="6" borderId="61" xfId="0" applyFill="1" applyBorder="1" applyAlignment="1">
      <alignment horizontal="center"/>
    </xf>
    <xf numFmtId="0" fontId="0" fillId="6" borderId="67" xfId="0" applyFill="1" applyBorder="1" applyAlignment="1">
      <alignment horizontal="center"/>
    </xf>
    <xf numFmtId="0" fontId="0" fillId="6" borderId="99" xfId="0" applyFill="1" applyBorder="1" applyAlignment="1">
      <alignment horizontal="center"/>
    </xf>
    <xf numFmtId="164" fontId="0" fillId="6" borderId="46" xfId="0" applyNumberFormat="1" applyFill="1" applyBorder="1" applyAlignment="1">
      <alignment horizontal="center" vertical="center"/>
    </xf>
    <xf numFmtId="0" fontId="3" fillId="6" borderId="63" xfId="0" applyFont="1" applyFill="1" applyBorder="1" applyAlignment="1">
      <alignment horizontal="center" vertical="center"/>
    </xf>
    <xf numFmtId="2" fontId="0" fillId="6" borderId="49" xfId="0" applyNumberFormat="1" applyFill="1" applyBorder="1" applyAlignment="1">
      <alignment horizontal="center" vertical="center"/>
    </xf>
    <xf numFmtId="165" fontId="2" fillId="6" borderId="109" xfId="0" applyNumberFormat="1" applyFont="1" applyFill="1" applyBorder="1" applyAlignment="1">
      <alignment horizontal="center" vertical="center"/>
    </xf>
    <xf numFmtId="164" fontId="2" fillId="6" borderId="57" xfId="0" applyNumberFormat="1" applyFont="1" applyFill="1" applyBorder="1" applyAlignment="1">
      <alignment horizontal="center" vertical="center"/>
    </xf>
    <xf numFmtId="164" fontId="2" fillId="6" borderId="58" xfId="0" applyNumberFormat="1" applyFont="1" applyFill="1" applyBorder="1" applyAlignment="1">
      <alignment horizontal="center" vertical="center"/>
    </xf>
    <xf numFmtId="0" fontId="3" fillId="6" borderId="51" xfId="0" applyFont="1" applyFill="1" applyBorder="1" applyAlignment="1">
      <alignment horizontal="center"/>
    </xf>
    <xf numFmtId="9" fontId="2" fillId="6" borderId="49" xfId="0" applyNumberFormat="1" applyFont="1" applyFill="1" applyBorder="1" applyAlignment="1">
      <alignment horizontal="center" vertical="center"/>
    </xf>
    <xf numFmtId="164" fontId="2" fillId="6" borderId="56" xfId="0" applyNumberFormat="1" applyFont="1" applyFill="1" applyBorder="1" applyAlignment="1">
      <alignment horizontal="center" vertical="center"/>
    </xf>
    <xf numFmtId="0" fontId="0" fillId="0" borderId="1" xfId="0" applyFill="1" applyBorder="1" applyAlignment="1">
      <alignment horizontal="center" vertical="center"/>
    </xf>
    <xf numFmtId="2" fontId="0" fillId="0" borderId="84" xfId="0" applyNumberFormat="1" applyBorder="1" applyAlignment="1">
      <alignment horizontal="center" vertical="center"/>
    </xf>
    <xf numFmtId="0" fontId="5" fillId="6" borderId="99" xfId="0" applyFont="1" applyFill="1" applyBorder="1" applyAlignment="1">
      <alignment horizontal="center" vertical="center"/>
    </xf>
    <xf numFmtId="0" fontId="5" fillId="6" borderId="91" xfId="0" applyFont="1" applyFill="1" applyBorder="1" applyAlignment="1">
      <alignment horizontal="center" vertical="center"/>
    </xf>
    <xf numFmtId="0" fontId="5" fillId="6" borderId="61" xfId="0" applyFont="1" applyFill="1" applyBorder="1" applyAlignment="1">
      <alignment horizontal="center" vertical="center"/>
    </xf>
    <xf numFmtId="0" fontId="0" fillId="0" borderId="64" xfId="0" applyBorder="1"/>
    <xf numFmtId="0" fontId="0" fillId="0" borderId="157" xfId="0" applyBorder="1"/>
    <xf numFmtId="0" fontId="0" fillId="0" borderId="65" xfId="0" applyBorder="1"/>
    <xf numFmtId="0" fontId="1" fillId="0" borderId="0" xfId="0" applyFont="1" applyFill="1" applyBorder="1" applyAlignment="1">
      <alignment horizontal="center" vertical="center" wrapText="1"/>
    </xf>
    <xf numFmtId="166" fontId="0" fillId="0" borderId="0" xfId="0" applyNumberFormat="1"/>
    <xf numFmtId="166" fontId="0" fillId="0" borderId="0" xfId="0" applyNumberFormat="1" applyBorder="1"/>
    <xf numFmtId="166" fontId="0" fillId="0" borderId="160" xfId="0" applyNumberFormat="1" applyBorder="1"/>
    <xf numFmtId="0" fontId="0" fillId="6" borderId="91" xfId="0" applyFont="1" applyFill="1" applyBorder="1" applyAlignment="1">
      <alignment horizontal="center" vertical="center"/>
    </xf>
    <xf numFmtId="0" fontId="0" fillId="6" borderId="61" xfId="0" applyFont="1" applyFill="1" applyBorder="1" applyAlignment="1">
      <alignment horizontal="center" vertical="center"/>
    </xf>
    <xf numFmtId="165" fontId="0" fillId="0" borderId="0" xfId="0" applyNumberFormat="1" applyAlignment="1">
      <alignment horizontal="center"/>
    </xf>
    <xf numFmtId="9" fontId="0" fillId="0" borderId="0" xfId="1" applyFont="1" applyAlignment="1">
      <alignment horizontal="center"/>
    </xf>
    <xf numFmtId="0" fontId="0" fillId="0" borderId="7" xfId="0" applyFill="1" applyBorder="1" applyAlignment="1">
      <alignment horizontal="center" vertical="center"/>
    </xf>
    <xf numFmtId="0" fontId="0" fillId="0" borderId="78" xfId="0" applyBorder="1" applyAlignment="1">
      <alignment horizontal="center" vertical="center"/>
    </xf>
    <xf numFmtId="0" fontId="0" fillId="0" borderId="1" xfId="0" applyBorder="1" applyAlignment="1">
      <alignment horizontal="center" vertical="center"/>
    </xf>
    <xf numFmtId="0" fontId="0" fillId="0" borderId="69" xfId="0" applyBorder="1" applyAlignment="1">
      <alignment horizontal="center" vertical="center"/>
    </xf>
    <xf numFmtId="0" fontId="0" fillId="0" borderId="60" xfId="0" applyBorder="1" applyAlignment="1">
      <alignment horizontal="center" vertical="center"/>
    </xf>
    <xf numFmtId="0" fontId="0" fillId="0" borderId="15" xfId="0" applyBorder="1" applyAlignment="1">
      <alignment horizontal="center" vertical="center"/>
    </xf>
    <xf numFmtId="0" fontId="0" fillId="0" borderId="80" xfId="0" applyBorder="1" applyAlignment="1">
      <alignment horizontal="center" vertical="center"/>
    </xf>
    <xf numFmtId="0" fontId="0" fillId="0" borderId="95" xfId="0" applyBorder="1" applyAlignment="1">
      <alignment horizontal="center" vertical="center"/>
    </xf>
    <xf numFmtId="0" fontId="0" fillId="0" borderId="26" xfId="0" applyBorder="1" applyAlignment="1">
      <alignment horizontal="center" vertical="center"/>
    </xf>
    <xf numFmtId="0" fontId="0" fillId="0" borderId="1" xfId="0" applyFill="1" applyBorder="1" applyAlignment="1">
      <alignment horizontal="center" vertical="center"/>
    </xf>
    <xf numFmtId="0" fontId="0" fillId="0" borderId="86" xfId="0" applyBorder="1" applyAlignment="1">
      <alignment horizontal="center" vertical="center"/>
    </xf>
    <xf numFmtId="0" fontId="1" fillId="0" borderId="64" xfId="0" applyFont="1" applyBorder="1" applyAlignment="1">
      <alignment horizontal="center" vertical="center"/>
    </xf>
    <xf numFmtId="0" fontId="0" fillId="0" borderId="79" xfId="0" applyBorder="1" applyAlignment="1">
      <alignment horizontal="center" vertical="center"/>
    </xf>
    <xf numFmtId="0" fontId="0" fillId="0" borderId="4" xfId="0" applyBorder="1" applyAlignment="1">
      <alignment horizontal="center" vertical="center"/>
    </xf>
    <xf numFmtId="0" fontId="0" fillId="0" borderId="22" xfId="0" applyFill="1" applyBorder="1" applyAlignment="1">
      <alignment horizontal="center" vertical="center"/>
    </xf>
    <xf numFmtId="0" fontId="0" fillId="8" borderId="165" xfId="0" applyFill="1" applyBorder="1" applyAlignment="1">
      <alignment horizontal="center" vertical="center"/>
    </xf>
    <xf numFmtId="0" fontId="0" fillId="8" borderId="166" xfId="0" applyFill="1" applyBorder="1" applyAlignment="1">
      <alignment horizontal="center" vertical="center"/>
    </xf>
    <xf numFmtId="0" fontId="0" fillId="8" borderId="167" xfId="0" applyFont="1" applyFill="1" applyBorder="1" applyAlignment="1">
      <alignment horizontal="center" vertical="center"/>
    </xf>
    <xf numFmtId="0" fontId="0" fillId="8" borderId="168" xfId="0" applyFill="1" applyBorder="1" applyAlignment="1">
      <alignment horizontal="center" vertical="center"/>
    </xf>
    <xf numFmtId="0" fontId="2" fillId="8" borderId="168" xfId="0" applyFont="1" applyFill="1" applyBorder="1" applyAlignment="1">
      <alignment horizontal="center" vertical="center"/>
    </xf>
    <xf numFmtId="0" fontId="2" fillId="8" borderId="165" xfId="0" applyFont="1" applyFill="1" applyBorder="1" applyAlignment="1">
      <alignment horizontal="center" vertical="center"/>
    </xf>
    <xf numFmtId="0" fontId="2" fillId="8" borderId="169" xfId="0" applyFont="1" applyFill="1" applyBorder="1" applyAlignment="1">
      <alignment horizontal="center" vertical="center"/>
    </xf>
    <xf numFmtId="0" fontId="2" fillId="8" borderId="170" xfId="0" applyFont="1" applyFill="1" applyBorder="1" applyAlignment="1">
      <alignment horizontal="center" vertical="center"/>
    </xf>
    <xf numFmtId="0" fontId="2" fillId="8" borderId="171" xfId="0" applyFont="1" applyFill="1" applyBorder="1" applyAlignment="1">
      <alignment horizontal="center" vertical="center"/>
    </xf>
    <xf numFmtId="0" fontId="2" fillId="8" borderId="172" xfId="0" applyFont="1" applyFill="1" applyBorder="1" applyAlignment="1">
      <alignment horizontal="center" vertical="center"/>
    </xf>
    <xf numFmtId="0" fontId="0" fillId="8" borderId="173" xfId="0" applyFill="1" applyBorder="1" applyAlignment="1">
      <alignment horizontal="center" vertical="center"/>
    </xf>
    <xf numFmtId="2" fontId="2" fillId="0" borderId="21" xfId="0" applyNumberFormat="1" applyFont="1" applyBorder="1" applyAlignment="1">
      <alignment horizontal="center" vertical="center"/>
    </xf>
    <xf numFmtId="2" fontId="2" fillId="8" borderId="175" xfId="0" applyNumberFormat="1" applyFont="1" applyFill="1" applyBorder="1" applyAlignment="1">
      <alignment horizontal="center" vertical="center"/>
    </xf>
    <xf numFmtId="0" fontId="0" fillId="8" borderId="167" xfId="0" applyFill="1" applyBorder="1" applyAlignment="1">
      <alignment horizontal="center" vertical="center"/>
    </xf>
    <xf numFmtId="0" fontId="2" fillId="8" borderId="175" xfId="0" applyFont="1" applyFill="1" applyBorder="1" applyAlignment="1">
      <alignment horizontal="center" vertical="center"/>
    </xf>
    <xf numFmtId="0" fontId="2" fillId="8" borderId="167" xfId="0" applyFont="1" applyFill="1" applyBorder="1" applyAlignment="1">
      <alignment horizontal="center" vertical="center"/>
    </xf>
    <xf numFmtId="164" fontId="2" fillId="8" borderId="171" xfId="0" applyNumberFormat="1" applyFont="1" applyFill="1" applyBorder="1" applyAlignment="1">
      <alignment horizontal="center" vertical="center"/>
    </xf>
    <xf numFmtId="164" fontId="2" fillId="8" borderId="167" xfId="0" applyNumberFormat="1" applyFont="1" applyFill="1" applyBorder="1" applyAlignment="1">
      <alignment horizontal="center" vertical="center"/>
    </xf>
    <xf numFmtId="9" fontId="2" fillId="8" borderId="167" xfId="0" applyNumberFormat="1" applyFont="1" applyFill="1" applyBorder="1" applyAlignment="1">
      <alignment horizontal="center" vertical="center"/>
    </xf>
    <xf numFmtId="0" fontId="0" fillId="0" borderId="176" xfId="0" applyBorder="1"/>
    <xf numFmtId="0" fontId="0" fillId="0" borderId="177" xfId="0" applyBorder="1"/>
    <xf numFmtId="0" fontId="4" fillId="0" borderId="32" xfId="0" applyFont="1" applyBorder="1" applyAlignment="1">
      <alignment horizontal="center" vertical="center"/>
    </xf>
    <xf numFmtId="0" fontId="4" fillId="0" borderId="32" xfId="0" applyFont="1" applyBorder="1" applyAlignment="1">
      <alignment horizontal="center" vertical="center" wrapText="1"/>
    </xf>
    <xf numFmtId="0" fontId="3" fillId="6" borderId="51" xfId="0" applyFont="1" applyFill="1" applyBorder="1" applyAlignment="1">
      <alignment horizontal="center" vertical="center" wrapText="1"/>
    </xf>
    <xf numFmtId="0" fontId="4" fillId="0" borderId="30" xfId="0" applyFont="1" applyBorder="1" applyAlignment="1">
      <alignment horizontal="center" vertical="center" wrapText="1"/>
    </xf>
    <xf numFmtId="0" fontId="0" fillId="0" borderId="54" xfId="0" applyFill="1" applyBorder="1" applyAlignment="1">
      <alignment horizontal="center" vertical="center"/>
    </xf>
    <xf numFmtId="0" fontId="0" fillId="0" borderId="21" xfId="0" applyFill="1" applyBorder="1" applyAlignment="1">
      <alignment horizontal="center" vertical="center"/>
    </xf>
    <xf numFmtId="0" fontId="0" fillId="0" borderId="138" xfId="0" applyFill="1" applyBorder="1" applyAlignment="1">
      <alignment horizontal="center" vertical="center"/>
    </xf>
    <xf numFmtId="0" fontId="0" fillId="0" borderId="36" xfId="0" applyFill="1" applyBorder="1" applyAlignment="1">
      <alignment horizontal="center" vertical="center"/>
    </xf>
    <xf numFmtId="0" fontId="0" fillId="0" borderId="44" xfId="0" applyFill="1" applyBorder="1" applyAlignment="1">
      <alignment horizontal="center" vertical="center"/>
    </xf>
    <xf numFmtId="0" fontId="0" fillId="0" borderId="0" xfId="0" applyFill="1" applyAlignment="1">
      <alignment horizontal="center" vertical="center"/>
    </xf>
    <xf numFmtId="0" fontId="0" fillId="0" borderId="139" xfId="0" applyFill="1" applyBorder="1" applyAlignment="1">
      <alignment horizontal="center" vertical="center"/>
    </xf>
    <xf numFmtId="0" fontId="0" fillId="0" borderId="10" xfId="0" applyFill="1" applyBorder="1" applyAlignment="1">
      <alignment horizontal="center" vertical="center"/>
    </xf>
    <xf numFmtId="0" fontId="0" fillId="0" borderId="42" xfId="0" applyFill="1" applyBorder="1" applyAlignment="1">
      <alignment horizontal="center" vertical="center"/>
    </xf>
    <xf numFmtId="0" fontId="0" fillId="6" borderId="162" xfId="0" applyFill="1" applyBorder="1" applyAlignment="1">
      <alignment horizontal="center" vertical="center"/>
    </xf>
    <xf numFmtId="0" fontId="0" fillId="6" borderId="163" xfId="0" applyFill="1" applyBorder="1" applyAlignment="1">
      <alignment horizontal="center" vertical="center"/>
    </xf>
    <xf numFmtId="0" fontId="0" fillId="6" borderId="56" xfId="0" applyFill="1" applyBorder="1" applyAlignment="1">
      <alignment horizontal="center" vertical="center"/>
    </xf>
    <xf numFmtId="0" fontId="0" fillId="6" borderId="57" xfId="0" applyFill="1" applyBorder="1" applyAlignment="1">
      <alignment horizontal="center" vertical="center"/>
    </xf>
    <xf numFmtId="0" fontId="3" fillId="6" borderId="51" xfId="0" applyFont="1" applyFill="1" applyBorder="1" applyAlignment="1">
      <alignment horizontal="center" vertical="center"/>
    </xf>
    <xf numFmtId="0" fontId="0" fillId="0" borderId="60" xfId="0" applyFill="1" applyBorder="1" applyAlignment="1">
      <alignment horizontal="center" vertical="center"/>
    </xf>
    <xf numFmtId="0" fontId="0" fillId="0" borderId="84" xfId="0" applyFill="1" applyBorder="1" applyAlignment="1">
      <alignment horizontal="center" vertical="center"/>
    </xf>
    <xf numFmtId="0" fontId="2" fillId="0" borderId="24" xfId="0" applyFont="1" applyFill="1" applyBorder="1" applyAlignment="1">
      <alignment horizontal="center" vertical="center"/>
    </xf>
    <xf numFmtId="0" fontId="0" fillId="0" borderId="92" xfId="0" applyFill="1" applyBorder="1" applyAlignment="1">
      <alignment horizontal="center" vertical="center"/>
    </xf>
    <xf numFmtId="0" fontId="2" fillId="0" borderId="92" xfId="0" applyFont="1" applyFill="1" applyBorder="1" applyAlignment="1">
      <alignment horizontal="center" vertical="center"/>
    </xf>
    <xf numFmtId="0" fontId="2" fillId="0" borderId="29" xfId="0" applyFont="1" applyFill="1" applyBorder="1" applyAlignment="1">
      <alignment horizontal="center" vertical="center"/>
    </xf>
    <xf numFmtId="0" fontId="2" fillId="0" borderId="25"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1" xfId="0" applyFont="1" applyFill="1" applyBorder="1" applyAlignment="1">
      <alignment horizontal="center" vertical="center"/>
    </xf>
    <xf numFmtId="0" fontId="0" fillId="0" borderId="24" xfId="0" applyFill="1" applyBorder="1" applyAlignment="1">
      <alignment horizontal="center" vertical="center"/>
    </xf>
    <xf numFmtId="0" fontId="0" fillId="0" borderId="126" xfId="0" applyFill="1" applyBorder="1" applyAlignment="1">
      <alignment horizontal="center" vertical="center"/>
    </xf>
    <xf numFmtId="0" fontId="0" fillId="0" borderId="180" xfId="0" applyBorder="1" applyAlignment="1">
      <alignment horizontal="center" vertical="center"/>
    </xf>
    <xf numFmtId="0" fontId="0" fillId="0" borderId="181" xfId="0" applyBorder="1" applyAlignment="1">
      <alignment horizontal="center" vertical="center"/>
    </xf>
    <xf numFmtId="0" fontId="0" fillId="0" borderId="146" xfId="0" applyBorder="1" applyAlignment="1">
      <alignment horizontal="center" vertical="center"/>
    </xf>
    <xf numFmtId="0" fontId="0" fillId="0" borderId="182" xfId="0" applyBorder="1" applyAlignment="1">
      <alignment horizontal="center" vertical="center"/>
    </xf>
    <xf numFmtId="0" fontId="0" fillId="0" borderId="183" xfId="0" applyBorder="1" applyAlignment="1">
      <alignment horizontal="center" vertical="center"/>
    </xf>
    <xf numFmtId="0" fontId="0" fillId="0" borderId="178" xfId="0" applyBorder="1" applyAlignment="1">
      <alignment horizontal="center" vertical="center"/>
    </xf>
    <xf numFmtId="0" fontId="5" fillId="0" borderId="182" xfId="0" applyFont="1" applyBorder="1" applyAlignment="1">
      <alignment horizontal="center" vertical="center"/>
    </xf>
    <xf numFmtId="0" fontId="4" fillId="0" borderId="32" xfId="0" applyFont="1" applyFill="1" applyBorder="1" applyAlignment="1">
      <alignment horizontal="center" vertical="center"/>
    </xf>
    <xf numFmtId="0" fontId="0" fillId="0" borderId="0" xfId="0" applyFill="1" applyBorder="1" applyAlignment="1">
      <alignment horizontal="center" vertical="center"/>
    </xf>
    <xf numFmtId="0" fontId="4" fillId="0" borderId="186" xfId="0" applyFont="1" applyBorder="1" applyAlignment="1">
      <alignment horizontal="center"/>
    </xf>
    <xf numFmtId="0" fontId="4" fillId="0" borderId="187" xfId="0" applyFont="1" applyBorder="1" applyAlignment="1">
      <alignment horizontal="center"/>
    </xf>
    <xf numFmtId="0" fontId="4" fillId="0" borderId="189" xfId="0" applyFont="1" applyBorder="1" applyAlignment="1">
      <alignment horizontal="center"/>
    </xf>
    <xf numFmtId="0" fontId="1" fillId="0" borderId="190" xfId="0" applyFont="1" applyBorder="1" applyAlignment="1">
      <alignment horizontal="center" wrapText="1"/>
    </xf>
    <xf numFmtId="2" fontId="2" fillId="0" borderId="113" xfId="0" applyNumberFormat="1" applyFont="1" applyBorder="1" applyAlignment="1">
      <alignment horizontal="center" vertical="center"/>
    </xf>
    <xf numFmtId="2" fontId="2" fillId="0" borderId="26" xfId="0" applyNumberFormat="1" applyFont="1" applyFill="1" applyBorder="1" applyAlignment="1">
      <alignment horizontal="center" vertical="center"/>
    </xf>
    <xf numFmtId="2" fontId="2" fillId="0" borderId="191" xfId="0" applyNumberFormat="1" applyFont="1" applyBorder="1" applyAlignment="1">
      <alignment horizontal="center" vertical="center"/>
    </xf>
    <xf numFmtId="0" fontId="0" fillId="0" borderId="192" xfId="0" applyBorder="1" applyAlignment="1">
      <alignment horizontal="center" vertical="center"/>
    </xf>
    <xf numFmtId="164" fontId="2" fillId="0" borderId="193" xfId="0" applyNumberFormat="1" applyFont="1" applyBorder="1" applyAlignment="1">
      <alignment horizontal="center" vertical="center"/>
    </xf>
    <xf numFmtId="2" fontId="2" fillId="0" borderId="194" xfId="0" applyNumberFormat="1" applyFont="1" applyBorder="1" applyAlignment="1">
      <alignment horizontal="center" vertical="center"/>
    </xf>
    <xf numFmtId="164" fontId="2" fillId="0" borderId="195" xfId="0" applyNumberFormat="1" applyFont="1" applyBorder="1" applyAlignment="1">
      <alignment horizontal="center" vertical="center"/>
    </xf>
    <xf numFmtId="0" fontId="0" fillId="0" borderId="197" xfId="0" applyBorder="1" applyAlignment="1">
      <alignment horizontal="center" vertical="center"/>
    </xf>
    <xf numFmtId="0" fontId="0" fillId="0" borderId="198" xfId="0" applyBorder="1" applyAlignment="1">
      <alignment horizontal="center" vertical="center"/>
    </xf>
    <xf numFmtId="2" fontId="2" fillId="0" borderId="199" xfId="0" applyNumberFormat="1" applyFont="1" applyBorder="1" applyAlignment="1">
      <alignment horizontal="center" vertical="center"/>
    </xf>
    <xf numFmtId="164" fontId="2" fillId="0" borderId="200" xfId="0" applyNumberFormat="1" applyFont="1" applyBorder="1" applyAlignment="1">
      <alignment horizontal="center" vertical="center"/>
    </xf>
    <xf numFmtId="2" fontId="2" fillId="0" borderId="201" xfId="0" applyNumberFormat="1" applyFont="1" applyBorder="1" applyAlignment="1">
      <alignment horizontal="center" vertical="center"/>
    </xf>
    <xf numFmtId="0" fontId="0" fillId="0" borderId="202" xfId="0" applyBorder="1" applyAlignment="1">
      <alignment horizontal="center" vertical="center"/>
    </xf>
    <xf numFmtId="0" fontId="0" fillId="0" borderId="203" xfId="0" applyBorder="1" applyAlignment="1">
      <alignment horizontal="center" vertical="center"/>
    </xf>
    <xf numFmtId="2" fontId="2" fillId="0" borderId="204" xfId="0" applyNumberFormat="1" applyFont="1" applyBorder="1" applyAlignment="1">
      <alignment horizontal="center" vertical="center"/>
    </xf>
    <xf numFmtId="0" fontId="0" fillId="0" borderId="205" xfId="0" applyBorder="1" applyAlignment="1">
      <alignment horizontal="center" vertical="center"/>
    </xf>
    <xf numFmtId="164" fontId="2" fillId="0" borderId="5" xfId="0" applyNumberFormat="1" applyFont="1" applyFill="1" applyBorder="1" applyAlignment="1">
      <alignment horizontal="center" vertical="center"/>
    </xf>
    <xf numFmtId="164" fontId="2" fillId="0" borderId="26" xfId="0" applyNumberFormat="1" applyFont="1" applyFill="1" applyBorder="1" applyAlignment="1">
      <alignment horizontal="center" vertical="center"/>
    </xf>
    <xf numFmtId="0" fontId="0" fillId="0" borderId="184" xfId="0" applyBorder="1" applyAlignment="1">
      <alignment horizontal="center" vertical="center"/>
    </xf>
    <xf numFmtId="164" fontId="5" fillId="0" borderId="180" xfId="0" applyNumberFormat="1" applyFont="1" applyBorder="1" applyAlignment="1">
      <alignment horizontal="center" vertical="center"/>
    </xf>
    <xf numFmtId="164" fontId="2" fillId="0" borderId="178" xfId="0" applyNumberFormat="1" applyFont="1" applyBorder="1" applyAlignment="1">
      <alignment horizontal="center" vertical="center"/>
    </xf>
    <xf numFmtId="164" fontId="2" fillId="0" borderId="146" xfId="0" applyNumberFormat="1" applyFont="1" applyBorder="1" applyAlignment="1">
      <alignment horizontal="center" vertical="center"/>
    </xf>
    <xf numFmtId="9" fontId="0" fillId="0" borderId="146" xfId="1" applyFont="1" applyBorder="1" applyAlignment="1">
      <alignment horizontal="center" vertical="center"/>
    </xf>
    <xf numFmtId="9" fontId="0" fillId="0" borderId="180" xfId="1" applyFont="1" applyBorder="1" applyAlignment="1">
      <alignment horizontal="center" vertical="center"/>
    </xf>
    <xf numFmtId="0" fontId="1" fillId="0" borderId="7" xfId="0" applyFont="1" applyBorder="1" applyAlignment="1">
      <alignment horizontal="center" vertical="center"/>
    </xf>
    <xf numFmtId="0" fontId="1" fillId="0" borderId="211" xfId="0" applyFont="1" applyBorder="1" applyAlignment="1">
      <alignment horizontal="center" vertical="center"/>
    </xf>
    <xf numFmtId="0" fontId="1" fillId="0" borderId="212" xfId="0" applyFont="1" applyBorder="1" applyAlignment="1">
      <alignment horizontal="center" vertical="center"/>
    </xf>
    <xf numFmtId="0" fontId="1" fillId="0" borderId="213" xfId="0" applyFont="1" applyBorder="1" applyAlignment="1">
      <alignment vertical="center"/>
    </xf>
    <xf numFmtId="0" fontId="3" fillId="0" borderId="197" xfId="0" applyFont="1" applyBorder="1" applyAlignment="1">
      <alignment horizontal="center" vertical="center"/>
    </xf>
    <xf numFmtId="0" fontId="3" fillId="0" borderId="198" xfId="0" applyFont="1" applyBorder="1" applyAlignment="1">
      <alignment horizontal="center" vertical="center"/>
    </xf>
    <xf numFmtId="0" fontId="1" fillId="0" borderId="213" xfId="0" applyFont="1" applyBorder="1" applyAlignment="1">
      <alignment horizontal="center"/>
    </xf>
    <xf numFmtId="0" fontId="3" fillId="0" borderId="208" xfId="0" applyFont="1" applyBorder="1" applyAlignment="1">
      <alignment horizontal="center" vertical="center"/>
    </xf>
    <xf numFmtId="0" fontId="1" fillId="0" borderId="209" xfId="0" applyFont="1" applyBorder="1" applyAlignment="1">
      <alignment horizontal="center" vertical="center"/>
    </xf>
    <xf numFmtId="0" fontId="1" fillId="0" borderId="192" xfId="0" applyFont="1" applyBorder="1" applyAlignment="1">
      <alignment horizontal="center" vertical="center"/>
    </xf>
    <xf numFmtId="0" fontId="1" fillId="0" borderId="210" xfId="0" applyFont="1" applyBorder="1" applyAlignment="1">
      <alignment horizontal="center" vertical="center"/>
    </xf>
    <xf numFmtId="0" fontId="3" fillId="0" borderId="213" xfId="0" applyFont="1" applyBorder="1" applyAlignment="1">
      <alignment horizontal="center" vertical="center"/>
    </xf>
    <xf numFmtId="0" fontId="7" fillId="0" borderId="214" xfId="0" applyFont="1" applyBorder="1" applyAlignment="1">
      <alignment horizontal="center" vertical="center"/>
    </xf>
    <xf numFmtId="0" fontId="16" fillId="0" borderId="220" xfId="0" applyFont="1" applyBorder="1" applyAlignment="1">
      <alignment horizontal="center" vertical="center"/>
    </xf>
    <xf numFmtId="0" fontId="1" fillId="0" borderId="186" xfId="0" applyFont="1" applyBorder="1" applyAlignment="1">
      <alignment horizontal="center" vertical="center"/>
    </xf>
    <xf numFmtId="0" fontId="3" fillId="0" borderId="188" xfId="0" applyFont="1" applyBorder="1" applyAlignment="1">
      <alignment horizontal="center" vertical="center"/>
    </xf>
    <xf numFmtId="0" fontId="0" fillId="7" borderId="49" xfId="0" applyFont="1" applyFill="1" applyBorder="1" applyAlignment="1">
      <alignment horizontal="center" vertical="center"/>
    </xf>
    <xf numFmtId="0" fontId="0" fillId="0" borderId="92" xfId="0" applyFont="1" applyFill="1" applyBorder="1" applyAlignment="1">
      <alignment horizontal="center" vertical="center"/>
    </xf>
    <xf numFmtId="0" fontId="4" fillId="0" borderId="25" xfId="0" applyFont="1" applyBorder="1" applyAlignment="1">
      <alignment horizontal="center" vertical="center"/>
    </xf>
    <xf numFmtId="9" fontId="0" fillId="0" borderId="182" xfId="1" applyFont="1" applyBorder="1" applyAlignment="1">
      <alignment horizontal="center" vertical="center"/>
    </xf>
    <xf numFmtId="0" fontId="0" fillId="0" borderId="221" xfId="0" applyBorder="1" applyAlignment="1">
      <alignment horizontal="center" vertical="center"/>
    </xf>
    <xf numFmtId="0" fontId="0" fillId="0" borderId="206" xfId="0" applyBorder="1" applyAlignment="1">
      <alignment horizontal="center" vertical="center"/>
    </xf>
    <xf numFmtId="2" fontId="0" fillId="0" borderId="206" xfId="1" applyNumberFormat="1" applyFont="1" applyBorder="1" applyAlignment="1">
      <alignment horizontal="center" vertical="center"/>
    </xf>
    <xf numFmtId="0" fontId="0" fillId="0" borderId="221" xfId="0" applyFill="1" applyBorder="1" applyAlignment="1">
      <alignment horizontal="center" vertical="center"/>
    </xf>
    <xf numFmtId="0" fontId="1" fillId="0" borderId="6" xfId="0" applyFont="1" applyFill="1" applyBorder="1" applyAlignment="1">
      <alignment horizontal="center" vertical="center"/>
    </xf>
    <xf numFmtId="0" fontId="0" fillId="0" borderId="122" xfId="0" applyBorder="1"/>
    <xf numFmtId="164" fontId="2" fillId="0" borderId="6" xfId="0" applyNumberFormat="1" applyFont="1" applyBorder="1" applyAlignment="1">
      <alignment horizontal="center" vertical="center"/>
    </xf>
    <xf numFmtId="164" fontId="5" fillId="0" borderId="182" xfId="0" applyNumberFormat="1" applyFont="1" applyBorder="1" applyAlignment="1">
      <alignment horizontal="center" vertical="center"/>
    </xf>
    <xf numFmtId="164" fontId="2" fillId="0" borderId="54" xfId="0" applyNumberFormat="1" applyFont="1" applyFill="1" applyBorder="1" applyAlignment="1">
      <alignment horizontal="center" vertical="center"/>
    </xf>
    <xf numFmtId="0" fontId="0" fillId="0" borderId="227" xfId="0" applyBorder="1" applyAlignment="1">
      <alignment horizontal="center" vertical="center"/>
    </xf>
    <xf numFmtId="2" fontId="0" fillId="0" borderId="226" xfId="1" applyNumberFormat="1" applyFont="1" applyBorder="1" applyAlignment="1">
      <alignment horizontal="center" vertical="center"/>
    </xf>
    <xf numFmtId="0" fontId="0" fillId="0" borderId="226" xfId="0" applyBorder="1" applyAlignment="1">
      <alignment horizontal="center" vertical="center"/>
    </xf>
    <xf numFmtId="0" fontId="2" fillId="0" borderId="221" xfId="0" applyFont="1" applyBorder="1" applyAlignment="1">
      <alignment horizontal="center" vertical="center"/>
    </xf>
    <xf numFmtId="0" fontId="2" fillId="0" borderId="206" xfId="0" applyFont="1" applyBorder="1" applyAlignment="1">
      <alignment horizontal="center" vertical="center"/>
    </xf>
    <xf numFmtId="164" fontId="2" fillId="0" borderId="206" xfId="0" applyNumberFormat="1" applyFont="1" applyBorder="1" applyAlignment="1">
      <alignment horizontal="center" vertical="center"/>
    </xf>
    <xf numFmtId="1" fontId="2" fillId="0" borderId="206" xfId="0" quotePrefix="1" applyNumberFormat="1" applyFont="1" applyBorder="1" applyAlignment="1">
      <alignment horizontal="center" vertical="center"/>
    </xf>
    <xf numFmtId="1" fontId="2" fillId="0" borderId="206" xfId="0" applyNumberFormat="1" applyFont="1" applyBorder="1" applyAlignment="1">
      <alignment horizontal="center" vertical="center"/>
    </xf>
    <xf numFmtId="9" fontId="0" fillId="0" borderId="206" xfId="1" applyFont="1" applyBorder="1" applyAlignment="1">
      <alignment horizontal="center" vertical="center"/>
    </xf>
    <xf numFmtId="0" fontId="5" fillId="0" borderId="221" xfId="0" applyFont="1" applyBorder="1" applyAlignment="1">
      <alignment horizontal="center" vertical="center"/>
    </xf>
    <xf numFmtId="0" fontId="5" fillId="0" borderId="206" xfId="0" applyFont="1" applyBorder="1" applyAlignment="1">
      <alignment horizontal="center" vertical="center"/>
    </xf>
    <xf numFmtId="164" fontId="5" fillId="0" borderId="206" xfId="0" applyNumberFormat="1" applyFont="1" applyBorder="1" applyAlignment="1">
      <alignment horizontal="center" vertical="center"/>
    </xf>
    <xf numFmtId="0" fontId="0" fillId="0" borderId="67" xfId="0" applyBorder="1"/>
    <xf numFmtId="0" fontId="0" fillId="0" borderId="120" xfId="0" applyBorder="1"/>
    <xf numFmtId="0" fontId="1" fillId="0" borderId="211" xfId="0" applyFont="1" applyFill="1" applyBorder="1" applyAlignment="1">
      <alignment horizontal="center" vertical="center"/>
    </xf>
    <xf numFmtId="0" fontId="1" fillId="0" borderId="212" xfId="0" applyFont="1" applyFill="1" applyBorder="1" applyAlignment="1">
      <alignment horizontal="center" vertical="center"/>
    </xf>
    <xf numFmtId="0" fontId="3" fillId="0" borderId="213" xfId="0" applyFont="1" applyFill="1" applyBorder="1" applyAlignment="1">
      <alignment horizontal="center" vertical="center"/>
    </xf>
    <xf numFmtId="0" fontId="3" fillId="0" borderId="197" xfId="0" applyFont="1" applyFill="1" applyBorder="1" applyAlignment="1">
      <alignment horizontal="center" vertical="center"/>
    </xf>
    <xf numFmtId="0" fontId="2" fillId="0" borderId="228" xfId="0" applyFont="1" applyBorder="1"/>
    <xf numFmtId="0" fontId="5" fillId="0" borderId="228" xfId="0" applyFont="1" applyBorder="1"/>
    <xf numFmtId="0" fontId="2" fillId="0" borderId="228" xfId="0" applyFont="1" applyBorder="1" applyAlignment="1">
      <alignment horizontal="center" vertical="center"/>
    </xf>
    <xf numFmtId="0" fontId="0" fillId="0" borderId="228" xfId="0" applyBorder="1"/>
    <xf numFmtId="0" fontId="0" fillId="0" borderId="228" xfId="0" applyBorder="1" applyAlignment="1">
      <alignment horizontal="center" vertical="center"/>
    </xf>
    <xf numFmtId="0" fontId="3" fillId="0" borderId="225" xfId="0" applyFont="1" applyFill="1" applyBorder="1" applyAlignment="1">
      <alignment horizontal="center" vertical="center"/>
    </xf>
    <xf numFmtId="0" fontId="0" fillId="0" borderId="229" xfId="0" applyBorder="1" applyAlignment="1">
      <alignment horizontal="center" vertical="center"/>
    </xf>
    <xf numFmtId="0" fontId="0" fillId="0" borderId="222" xfId="0" applyBorder="1"/>
    <xf numFmtId="0" fontId="0" fillId="3" borderId="0" xfId="0" applyFill="1" applyAlignment="1">
      <alignment horizontal="center" vertical="center"/>
    </xf>
    <xf numFmtId="0" fontId="3" fillId="0" borderId="231" xfId="0" applyFont="1" applyBorder="1" applyAlignment="1">
      <alignment horizontal="center" vertical="center"/>
    </xf>
    <xf numFmtId="0" fontId="3" fillId="0" borderId="220" xfId="0" applyFont="1" applyBorder="1" applyAlignment="1">
      <alignment horizontal="center" vertical="center"/>
    </xf>
    <xf numFmtId="0" fontId="2" fillId="0" borderId="66" xfId="0" applyFont="1" applyBorder="1" applyAlignment="1">
      <alignment horizontal="center" vertical="center"/>
    </xf>
    <xf numFmtId="0" fontId="0" fillId="0" borderId="25" xfId="0" applyFill="1" applyBorder="1" applyAlignment="1">
      <alignment horizontal="center" vertical="center"/>
    </xf>
    <xf numFmtId="0" fontId="13" fillId="0" borderId="180" xfId="0" applyFont="1" applyBorder="1" applyAlignment="1">
      <alignment horizontal="center" vertical="center"/>
    </xf>
    <xf numFmtId="0" fontId="0" fillId="0" borderId="181" xfId="0" applyFont="1" applyBorder="1" applyAlignment="1">
      <alignment horizontal="center" vertical="center"/>
    </xf>
    <xf numFmtId="0" fontId="0" fillId="0" borderId="182" xfId="0" applyFont="1" applyBorder="1" applyAlignment="1">
      <alignment horizontal="center" vertical="center"/>
    </xf>
    <xf numFmtId="0" fontId="4" fillId="0" borderId="25" xfId="0" applyFont="1" applyFill="1" applyBorder="1" applyAlignment="1">
      <alignment horizontal="center" vertical="center"/>
    </xf>
    <xf numFmtId="0" fontId="4" fillId="0" borderId="190" xfId="0" applyFont="1" applyBorder="1" applyAlignment="1">
      <alignment horizontal="center" wrapText="1"/>
    </xf>
    <xf numFmtId="164" fontId="2" fillId="0" borderId="22" xfId="0" applyNumberFormat="1" applyFont="1" applyFill="1" applyBorder="1" applyAlignment="1">
      <alignment horizontal="center" vertical="center"/>
    </xf>
    <xf numFmtId="0" fontId="2" fillId="0" borderId="182" xfId="0" applyFont="1" applyBorder="1" applyAlignment="1">
      <alignment horizontal="center" vertical="center"/>
    </xf>
    <xf numFmtId="0" fontId="0" fillId="0" borderId="233" xfId="0" applyBorder="1" applyAlignment="1">
      <alignment horizontal="center" vertical="center"/>
    </xf>
    <xf numFmtId="0" fontId="0" fillId="0" borderId="234" xfId="0" applyBorder="1" applyAlignment="1">
      <alignment horizontal="center" vertical="center"/>
    </xf>
    <xf numFmtId="0" fontId="2" fillId="0" borderId="191" xfId="0" applyFont="1" applyFill="1" applyBorder="1" applyAlignment="1">
      <alignment horizontal="center" vertical="center"/>
    </xf>
    <xf numFmtId="0" fontId="2" fillId="0" borderId="192" xfId="0" applyFont="1" applyFill="1" applyBorder="1" applyAlignment="1">
      <alignment horizontal="center" vertical="center"/>
    </xf>
    <xf numFmtId="164" fontId="2" fillId="0" borderId="192" xfId="0" applyNumberFormat="1" applyFont="1" applyFill="1" applyBorder="1" applyAlignment="1">
      <alignment horizontal="center" vertical="center"/>
    </xf>
    <xf numFmtId="0" fontId="2" fillId="0" borderId="194" xfId="0" applyFont="1" applyBorder="1" applyAlignment="1">
      <alignment horizontal="center" vertical="center"/>
    </xf>
    <xf numFmtId="0" fontId="2" fillId="6" borderId="235" xfId="0" applyFont="1" applyFill="1" applyBorder="1" applyAlignment="1">
      <alignment horizontal="center" vertical="center"/>
    </xf>
    <xf numFmtId="0" fontId="2" fillId="6" borderId="202" xfId="0" applyFont="1" applyFill="1" applyBorder="1" applyAlignment="1">
      <alignment horizontal="center" vertical="center"/>
    </xf>
    <xf numFmtId="164" fontId="2" fillId="6" borderId="202" xfId="0" applyNumberFormat="1" applyFont="1" applyFill="1" applyBorder="1" applyAlignment="1">
      <alignment horizontal="center" vertical="center"/>
    </xf>
    <xf numFmtId="164" fontId="2" fillId="0" borderId="237" xfId="0" applyNumberFormat="1" applyFont="1" applyBorder="1" applyAlignment="1">
      <alignment horizontal="center" vertical="center"/>
    </xf>
    <xf numFmtId="0" fontId="2" fillId="0" borderId="237" xfId="0" applyFont="1" applyBorder="1" applyAlignment="1">
      <alignment horizontal="center" vertical="center"/>
    </xf>
    <xf numFmtId="0" fontId="0" fillId="0" borderId="238" xfId="0" applyBorder="1" applyAlignment="1">
      <alignment horizontal="center" vertical="center"/>
    </xf>
    <xf numFmtId="9" fontId="0" fillId="0" borderId="237" xfId="1" applyFont="1" applyBorder="1" applyAlignment="1">
      <alignment horizontal="center" vertical="center"/>
    </xf>
    <xf numFmtId="0" fontId="1" fillId="0" borderId="7" xfId="0" applyFont="1" applyFill="1" applyBorder="1" applyAlignment="1">
      <alignment horizontal="center" vertical="center"/>
    </xf>
    <xf numFmtId="0" fontId="3" fillId="0" borderId="208" xfId="0" applyFont="1" applyFill="1" applyBorder="1" applyAlignment="1">
      <alignment horizontal="center" vertical="center"/>
    </xf>
    <xf numFmtId="0" fontId="3" fillId="0" borderId="239" xfId="0" applyFont="1" applyFill="1" applyBorder="1" applyAlignment="1">
      <alignment horizontal="center" vertical="center"/>
    </xf>
    <xf numFmtId="0" fontId="3" fillId="0" borderId="240" xfId="0" applyFont="1" applyFill="1" applyBorder="1" applyAlignment="1">
      <alignment horizontal="center" vertical="center"/>
    </xf>
    <xf numFmtId="0" fontId="0" fillId="0" borderId="241" xfId="0" applyBorder="1" applyAlignment="1">
      <alignment horizontal="center" vertical="center"/>
    </xf>
    <xf numFmtId="0" fontId="0" fillId="0" borderId="242" xfId="0" applyBorder="1" applyAlignment="1">
      <alignment horizontal="center" vertical="center"/>
    </xf>
    <xf numFmtId="0" fontId="0" fillId="0" borderId="243" xfId="0" applyBorder="1" applyAlignment="1">
      <alignment horizontal="center" vertical="center"/>
    </xf>
    <xf numFmtId="0" fontId="0" fillId="0" borderId="244" xfId="0" applyBorder="1" applyAlignment="1">
      <alignment horizontal="center" vertical="center"/>
    </xf>
    <xf numFmtId="0" fontId="0" fillId="0" borderId="194" xfId="0" applyBorder="1" applyAlignment="1">
      <alignment horizontal="center" vertical="center"/>
    </xf>
    <xf numFmtId="0" fontId="0" fillId="0" borderId="212" xfId="0" applyBorder="1" applyAlignment="1">
      <alignment horizontal="center" vertical="center"/>
    </xf>
    <xf numFmtId="0" fontId="0" fillId="0" borderId="196" xfId="0" applyBorder="1" applyAlignment="1">
      <alignment horizontal="center" vertical="center"/>
    </xf>
    <xf numFmtId="0" fontId="2" fillId="0" borderId="2" xfId="0" applyFont="1" applyFill="1" applyBorder="1" applyAlignment="1">
      <alignment horizontal="center" vertical="center"/>
    </xf>
    <xf numFmtId="164" fontId="2" fillId="0" borderId="245" xfId="0" applyNumberFormat="1" applyFont="1" applyBorder="1" applyAlignment="1">
      <alignment horizontal="center" vertical="center"/>
    </xf>
    <xf numFmtId="2" fontId="2" fillId="0" borderId="246" xfId="0" applyNumberFormat="1" applyFont="1" applyFill="1" applyBorder="1" applyAlignment="1">
      <alignment horizontal="center" vertical="center"/>
    </xf>
    <xf numFmtId="0" fontId="0" fillId="0" borderId="192" xfId="0" applyFill="1" applyBorder="1" applyAlignment="1">
      <alignment horizontal="center" vertical="center"/>
    </xf>
    <xf numFmtId="0" fontId="0" fillId="0" borderId="210" xfId="0" applyFill="1" applyBorder="1" applyAlignment="1">
      <alignment horizontal="center" vertical="center"/>
    </xf>
    <xf numFmtId="2" fontId="2" fillId="0" borderId="199" xfId="0" applyNumberFormat="1" applyFont="1" applyFill="1" applyBorder="1" applyAlignment="1">
      <alignment horizontal="center" vertical="center"/>
    </xf>
    <xf numFmtId="2" fontId="2" fillId="6" borderId="235" xfId="0" applyNumberFormat="1" applyFont="1" applyFill="1" applyBorder="1" applyAlignment="1">
      <alignment horizontal="center" vertical="center"/>
    </xf>
    <xf numFmtId="0" fontId="0" fillId="6" borderId="202" xfId="0" applyFill="1" applyBorder="1" applyAlignment="1">
      <alignment horizontal="center" vertical="center"/>
    </xf>
    <xf numFmtId="0" fontId="0" fillId="6" borderId="236" xfId="0" applyFill="1" applyBorder="1" applyAlignment="1">
      <alignment horizontal="center" vertical="center"/>
    </xf>
    <xf numFmtId="0" fontId="4" fillId="3" borderId="25" xfId="0" applyFont="1" applyFill="1" applyBorder="1" applyAlignment="1">
      <alignment horizontal="center" vertical="center"/>
    </xf>
    <xf numFmtId="9" fontId="0" fillId="6" borderId="50" xfId="1" applyFont="1" applyFill="1" applyBorder="1" applyAlignment="1">
      <alignment horizontal="center" vertical="center"/>
    </xf>
    <xf numFmtId="2" fontId="0" fillId="0" borderId="95" xfId="1" applyNumberFormat="1" applyFont="1" applyBorder="1" applyAlignment="1">
      <alignment horizontal="center" vertical="center"/>
    </xf>
    <xf numFmtId="0" fontId="0" fillId="3" borderId="0" xfId="0" applyFill="1"/>
    <xf numFmtId="0" fontId="0" fillId="0" borderId="229" xfId="0" applyBorder="1"/>
    <xf numFmtId="9" fontId="0" fillId="0" borderId="226" xfId="1" applyFont="1" applyBorder="1" applyAlignment="1">
      <alignment horizontal="center" vertical="center"/>
    </xf>
    <xf numFmtId="9" fontId="0" fillId="0" borderId="247" xfId="1" applyFont="1" applyBorder="1" applyAlignment="1">
      <alignment horizontal="center" vertical="center"/>
    </xf>
    <xf numFmtId="0" fontId="2" fillId="0" borderId="116" xfId="0" applyFont="1" applyBorder="1" applyAlignment="1">
      <alignment horizontal="center" vertical="center"/>
    </xf>
    <xf numFmtId="0" fontId="2" fillId="0" borderId="117" xfId="0" applyFont="1" applyBorder="1" applyAlignment="1">
      <alignment horizontal="center" vertical="center"/>
    </xf>
    <xf numFmtId="9" fontId="2" fillId="6" borderId="89" xfId="1" applyFont="1" applyFill="1" applyBorder="1" applyAlignment="1">
      <alignment horizontal="center" vertical="center"/>
    </xf>
    <xf numFmtId="0" fontId="2" fillId="0" borderId="73" xfId="0" applyFont="1" applyBorder="1" applyAlignment="1">
      <alignment horizontal="center" vertical="center"/>
    </xf>
    <xf numFmtId="0" fontId="2" fillId="0" borderId="249" xfId="0" applyFont="1" applyBorder="1" applyAlignment="1">
      <alignment horizontal="center" vertical="center"/>
    </xf>
    <xf numFmtId="0" fontId="2" fillId="0" borderId="71" xfId="0" applyFont="1" applyBorder="1" applyAlignment="1">
      <alignment horizontal="center" vertical="center"/>
    </xf>
    <xf numFmtId="0" fontId="2" fillId="0" borderId="250" xfId="0" applyFont="1" applyBorder="1" applyAlignment="1">
      <alignment horizontal="center" vertical="center"/>
    </xf>
    <xf numFmtId="0" fontId="3" fillId="0" borderId="220" xfId="0" applyFont="1" applyFill="1" applyBorder="1" applyAlignment="1">
      <alignment horizontal="center" vertical="center"/>
    </xf>
    <xf numFmtId="0" fontId="3" fillId="0" borderId="252" xfId="0" applyFont="1" applyFill="1" applyBorder="1" applyAlignment="1">
      <alignment horizontal="center" vertical="center"/>
    </xf>
    <xf numFmtId="0" fontId="1" fillId="0" borderId="11"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12"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6" fillId="0" borderId="17" xfId="0" applyFont="1" applyFill="1" applyBorder="1" applyAlignment="1">
      <alignment horizontal="center" vertical="center"/>
    </xf>
    <xf numFmtId="0" fontId="16" fillId="0" borderId="18" xfId="0" applyFont="1" applyFill="1" applyBorder="1" applyAlignment="1">
      <alignment horizontal="center" vertical="center"/>
    </xf>
    <xf numFmtId="164" fontId="2" fillId="0" borderId="214" xfId="0" applyNumberFormat="1" applyFont="1" applyFill="1" applyBorder="1" applyAlignment="1">
      <alignment horizontal="center" vertical="center"/>
    </xf>
    <xf numFmtId="164" fontId="2" fillId="6" borderId="253" xfId="0" applyNumberFormat="1" applyFont="1" applyFill="1" applyBorder="1" applyAlignment="1">
      <alignment horizontal="center" vertical="center"/>
    </xf>
    <xf numFmtId="164" fontId="2" fillId="0" borderId="11" xfId="0" applyNumberFormat="1" applyFont="1" applyFill="1" applyBorder="1" applyAlignment="1">
      <alignment horizontal="center" vertical="center"/>
    </xf>
    <xf numFmtId="164" fontId="2" fillId="0" borderId="12" xfId="0" applyNumberFormat="1" applyFont="1" applyFill="1" applyBorder="1" applyAlignment="1">
      <alignment horizontal="center" vertical="center"/>
    </xf>
    <xf numFmtId="0" fontId="2" fillId="0" borderId="248" xfId="0" applyFont="1" applyFill="1" applyBorder="1" applyAlignment="1">
      <alignment horizontal="center" vertical="center"/>
    </xf>
    <xf numFmtId="0" fontId="0" fillId="6" borderId="8" xfId="0" applyFill="1" applyBorder="1" applyAlignment="1">
      <alignment horizontal="center" vertical="center"/>
    </xf>
    <xf numFmtId="9" fontId="2" fillId="6" borderId="49" xfId="1" applyNumberFormat="1" applyFont="1" applyFill="1" applyBorder="1" applyAlignment="1">
      <alignment horizontal="center" vertical="center"/>
    </xf>
    <xf numFmtId="0" fontId="1" fillId="0" borderId="134" xfId="0" applyFont="1" applyBorder="1" applyAlignment="1">
      <alignment horizontal="center"/>
    </xf>
    <xf numFmtId="0" fontId="0" fillId="0" borderId="62" xfId="0" applyBorder="1" applyAlignment="1">
      <alignment horizontal="center" vertical="center"/>
    </xf>
    <xf numFmtId="0" fontId="1" fillId="0" borderId="8" xfId="0" applyFont="1" applyBorder="1" applyAlignment="1">
      <alignment horizontal="center" vertical="center" wrapText="1"/>
    </xf>
    <xf numFmtId="0" fontId="0" fillId="0" borderId="8" xfId="0" applyBorder="1" applyAlignment="1">
      <alignment horizontal="center" vertical="center" wrapText="1"/>
    </xf>
    <xf numFmtId="9" fontId="0" fillId="0" borderId="8" xfId="0" applyNumberFormat="1" applyBorder="1" applyAlignment="1">
      <alignment horizontal="center" vertical="center" wrapText="1"/>
    </xf>
    <xf numFmtId="0" fontId="0" fillId="0" borderId="8" xfId="0" applyNumberFormat="1" applyBorder="1" applyAlignment="1">
      <alignment horizontal="center" vertical="center" wrapText="1"/>
    </xf>
    <xf numFmtId="9" fontId="0" fillId="0" borderId="6" xfId="0" applyNumberFormat="1" applyFont="1" applyBorder="1" applyAlignment="1">
      <alignment horizontal="center" vertical="center" wrapText="1"/>
    </xf>
    <xf numFmtId="2" fontId="0" fillId="6" borderId="23" xfId="1" applyNumberFormat="1" applyFont="1" applyFill="1" applyBorder="1" applyAlignment="1">
      <alignment horizontal="center" vertical="center"/>
    </xf>
    <xf numFmtId="0" fontId="0" fillId="0" borderId="255" xfId="0" applyBorder="1" applyAlignment="1">
      <alignment horizontal="center" vertical="center"/>
    </xf>
    <xf numFmtId="0" fontId="0" fillId="0" borderId="256" xfId="0" applyBorder="1" applyAlignment="1">
      <alignment horizontal="center" vertical="center"/>
    </xf>
    <xf numFmtId="9" fontId="2" fillId="6" borderId="50" xfId="1" applyFont="1" applyFill="1" applyBorder="1" applyAlignment="1">
      <alignment horizontal="center" vertical="center"/>
    </xf>
    <xf numFmtId="0" fontId="0" fillId="0" borderId="27" xfId="0" applyBorder="1" applyAlignment="1">
      <alignment horizontal="center" vertical="center"/>
    </xf>
    <xf numFmtId="0" fontId="0" fillId="0" borderId="257" xfId="0" applyBorder="1" applyAlignment="1">
      <alignment horizontal="center" vertical="center"/>
    </xf>
    <xf numFmtId="0" fontId="0" fillId="0" borderId="258" xfId="0" applyBorder="1" applyAlignment="1">
      <alignment horizontal="center" vertical="center"/>
    </xf>
    <xf numFmtId="9" fontId="0" fillId="0" borderId="163" xfId="1" applyFont="1" applyBorder="1" applyAlignment="1">
      <alignment horizontal="center" vertical="center"/>
    </xf>
    <xf numFmtId="0" fontId="0" fillId="0" borderId="259" xfId="0" applyBorder="1" applyAlignment="1">
      <alignment horizontal="center" vertical="center"/>
    </xf>
    <xf numFmtId="0" fontId="0" fillId="0" borderId="260" xfId="0" applyBorder="1" applyAlignment="1">
      <alignment horizontal="center" vertical="center"/>
    </xf>
    <xf numFmtId="0" fontId="0" fillId="0" borderId="261" xfId="0" applyBorder="1" applyAlignment="1">
      <alignment horizontal="center" vertical="center"/>
    </xf>
    <xf numFmtId="0" fontId="0" fillId="0" borderId="262" xfId="0" applyBorder="1" applyAlignment="1">
      <alignment horizontal="center" vertical="center"/>
    </xf>
    <xf numFmtId="9" fontId="0" fillId="0" borderId="85" xfId="1" applyFont="1" applyBorder="1" applyAlignment="1">
      <alignment horizontal="center" vertical="center"/>
    </xf>
    <xf numFmtId="9" fontId="0" fillId="6" borderId="89" xfId="1" applyFont="1" applyFill="1" applyBorder="1" applyAlignment="1">
      <alignment horizontal="center" vertical="center"/>
    </xf>
    <xf numFmtId="9" fontId="0" fillId="6" borderId="163" xfId="1" applyFont="1" applyFill="1" applyBorder="1" applyAlignment="1">
      <alignment horizontal="center" vertical="center"/>
    </xf>
    <xf numFmtId="2" fontId="0" fillId="0" borderId="257" xfId="0" applyNumberFormat="1" applyBorder="1" applyAlignment="1">
      <alignment horizontal="center" vertical="center"/>
    </xf>
    <xf numFmtId="0" fontId="2" fillId="0" borderId="265" xfId="0" applyFont="1" applyBorder="1" applyAlignment="1">
      <alignment horizontal="center" vertical="center"/>
    </xf>
    <xf numFmtId="0" fontId="2" fillId="0" borderId="19" xfId="0" applyFont="1" applyBorder="1" applyAlignment="1">
      <alignment horizontal="center" vertical="center"/>
    </xf>
    <xf numFmtId="164" fontId="2" fillId="0" borderId="18" xfId="0" applyNumberFormat="1" applyFont="1" applyBorder="1" applyAlignment="1">
      <alignment horizontal="center" vertical="center"/>
    </xf>
    <xf numFmtId="0" fontId="0" fillId="0" borderId="266" xfId="0" applyBorder="1" applyAlignment="1">
      <alignment horizontal="center" vertical="center"/>
    </xf>
    <xf numFmtId="0" fontId="0" fillId="0" borderId="267" xfId="0" applyBorder="1" applyAlignment="1">
      <alignment horizontal="center" vertical="center"/>
    </xf>
    <xf numFmtId="0" fontId="0" fillId="0" borderId="268" xfId="0" applyBorder="1" applyAlignment="1">
      <alignment horizontal="center" vertical="center"/>
    </xf>
    <xf numFmtId="0" fontId="0" fillId="0" borderId="102" xfId="0" applyBorder="1" applyAlignment="1">
      <alignment horizontal="center" vertical="center"/>
    </xf>
    <xf numFmtId="0" fontId="2" fillId="0" borderId="102" xfId="0" applyFont="1" applyBorder="1" applyAlignment="1">
      <alignment horizontal="center" vertical="center"/>
    </xf>
    <xf numFmtId="164" fontId="0" fillId="6" borderId="49" xfId="0" applyNumberFormat="1" applyFont="1" applyFill="1" applyBorder="1" applyAlignment="1">
      <alignment horizontal="center" vertical="center"/>
    </xf>
    <xf numFmtId="0" fontId="0" fillId="0" borderId="249" xfId="0" applyBorder="1" applyAlignment="1">
      <alignment horizontal="center" vertical="center"/>
    </xf>
    <xf numFmtId="2" fontId="0" fillId="0" borderId="117" xfId="0" applyNumberFormat="1" applyBorder="1" applyAlignment="1">
      <alignment horizontal="center" vertical="center"/>
    </xf>
    <xf numFmtId="0" fontId="2" fillId="4" borderId="73" xfId="0" applyFont="1" applyFill="1" applyBorder="1" applyAlignment="1">
      <alignment horizontal="center" vertical="center"/>
    </xf>
    <xf numFmtId="0" fontId="3" fillId="4" borderId="51" xfId="0" applyFont="1" applyFill="1" applyBorder="1" applyAlignment="1">
      <alignment horizontal="center" vertical="center"/>
    </xf>
    <xf numFmtId="0" fontId="3" fillId="4" borderId="51" xfId="0" applyFont="1" applyFill="1" applyBorder="1" applyAlignment="1">
      <alignment horizontal="center"/>
    </xf>
    <xf numFmtId="9" fontId="0" fillId="7" borderId="89" xfId="1" applyFont="1" applyFill="1" applyBorder="1" applyAlignment="1">
      <alignment horizontal="center" vertical="center"/>
    </xf>
    <xf numFmtId="9" fontId="0" fillId="4" borderId="89" xfId="1" applyFont="1" applyFill="1" applyBorder="1" applyAlignment="1">
      <alignment horizontal="center" vertical="center"/>
    </xf>
    <xf numFmtId="164" fontId="2" fillId="7" borderId="47" xfId="0" applyNumberFormat="1" applyFont="1" applyFill="1" applyBorder="1" applyAlignment="1">
      <alignment horizontal="center" vertical="center"/>
    </xf>
    <xf numFmtId="164" fontId="2" fillId="0" borderId="21" xfId="0" applyNumberFormat="1" applyFont="1" applyBorder="1" applyAlignment="1">
      <alignment horizontal="center" vertical="center"/>
    </xf>
    <xf numFmtId="9" fontId="2" fillId="4" borderId="50" xfId="1" applyFont="1" applyFill="1" applyBorder="1" applyAlignment="1">
      <alignment horizontal="center" vertical="center"/>
    </xf>
    <xf numFmtId="0" fontId="2" fillId="7" borderId="163" xfId="0" applyFont="1" applyFill="1" applyBorder="1" applyAlignment="1">
      <alignment horizontal="center" vertical="center"/>
    </xf>
    <xf numFmtId="0" fontId="2" fillId="7" borderId="48" xfId="0" applyFont="1" applyFill="1" applyBorder="1" applyAlignment="1">
      <alignment horizontal="center" vertical="center"/>
    </xf>
    <xf numFmtId="0" fontId="2" fillId="7" borderId="47" xfId="0" applyFont="1" applyFill="1" applyBorder="1" applyAlignment="1">
      <alignment horizontal="center" vertical="center"/>
    </xf>
    <xf numFmtId="0" fontId="3" fillId="7" borderId="51" xfId="0" applyFont="1" applyFill="1" applyBorder="1" applyAlignment="1">
      <alignment horizontal="center" vertical="center"/>
    </xf>
    <xf numFmtId="9" fontId="2" fillId="7" borderId="50" xfId="1" applyFont="1" applyFill="1" applyBorder="1" applyAlignment="1">
      <alignment horizontal="center" vertical="center"/>
    </xf>
    <xf numFmtId="0" fontId="3" fillId="7" borderId="51" xfId="0" applyFont="1" applyFill="1" applyBorder="1" applyAlignment="1">
      <alignment horizontal="center"/>
    </xf>
    <xf numFmtId="164" fontId="0" fillId="7" borderId="49" xfId="0" applyNumberFormat="1" applyFont="1" applyFill="1" applyBorder="1" applyAlignment="1">
      <alignment horizontal="center" vertical="center"/>
    </xf>
    <xf numFmtId="0" fontId="1" fillId="0" borderId="269" xfId="0" applyFont="1" applyFill="1" applyBorder="1" applyAlignment="1">
      <alignment horizontal="center" vertical="center" wrapText="1"/>
    </xf>
    <xf numFmtId="0" fontId="1" fillId="0" borderId="222" xfId="0" applyFont="1" applyFill="1" applyBorder="1" applyAlignment="1">
      <alignment horizontal="center" vertical="center" wrapText="1"/>
    </xf>
    <xf numFmtId="0" fontId="0" fillId="0" borderId="122" xfId="0" applyFill="1" applyBorder="1" applyAlignment="1">
      <alignment horizontal="center" vertical="center"/>
    </xf>
    <xf numFmtId="0" fontId="0" fillId="0" borderId="270" xfId="0" applyFill="1" applyBorder="1" applyAlignment="1">
      <alignment horizontal="center" vertical="center"/>
    </xf>
    <xf numFmtId="0" fontId="0" fillId="0" borderId="271" xfId="0" applyFill="1" applyBorder="1" applyAlignment="1">
      <alignment horizontal="center" vertical="center"/>
    </xf>
    <xf numFmtId="0" fontId="0" fillId="0" borderId="272" xfId="0" applyBorder="1" applyAlignment="1">
      <alignment horizontal="center" vertical="center"/>
    </xf>
    <xf numFmtId="0" fontId="0" fillId="0" borderId="273" xfId="0" applyBorder="1" applyAlignment="1">
      <alignment horizontal="center" vertical="center"/>
    </xf>
    <xf numFmtId="2" fontId="0" fillId="6" borderId="275" xfId="1" applyNumberFormat="1" applyFont="1" applyFill="1" applyBorder="1" applyAlignment="1">
      <alignment horizontal="center" vertical="center"/>
    </xf>
    <xf numFmtId="2" fontId="0" fillId="6" borderId="276" xfId="1" applyNumberFormat="1" applyFont="1" applyFill="1" applyBorder="1" applyAlignment="1">
      <alignment horizontal="center" vertical="center"/>
    </xf>
    <xf numFmtId="0" fontId="0" fillId="0" borderId="254" xfId="0" applyBorder="1" applyAlignment="1">
      <alignment horizontal="center" vertical="center"/>
    </xf>
    <xf numFmtId="2" fontId="0" fillId="6" borderId="46" xfId="1" applyNumberFormat="1" applyFont="1" applyFill="1" applyBorder="1" applyAlignment="1">
      <alignment horizontal="center" vertical="center"/>
    </xf>
    <xf numFmtId="2" fontId="0" fillId="6" borderId="28" xfId="1" applyNumberFormat="1" applyFont="1" applyFill="1" applyBorder="1" applyAlignment="1">
      <alignment horizontal="center" vertical="center"/>
    </xf>
    <xf numFmtId="2" fontId="0" fillId="4" borderId="46" xfId="1" applyNumberFormat="1" applyFont="1" applyFill="1" applyBorder="1" applyAlignment="1">
      <alignment horizontal="center" vertical="center"/>
    </xf>
    <xf numFmtId="2" fontId="0" fillId="7" borderId="46" xfId="1" applyNumberFormat="1" applyFont="1" applyFill="1" applyBorder="1" applyAlignment="1">
      <alignment horizontal="center" vertical="center"/>
    </xf>
    <xf numFmtId="0" fontId="1" fillId="0" borderId="263" xfId="0" applyFont="1" applyFill="1" applyBorder="1" applyAlignment="1">
      <alignment horizontal="center" vertical="center" wrapText="1"/>
    </xf>
    <xf numFmtId="0" fontId="1" fillId="0" borderId="277" xfId="0" applyFont="1" applyFill="1" applyBorder="1" applyAlignment="1">
      <alignment horizontal="center" vertical="center" wrapText="1"/>
    </xf>
    <xf numFmtId="0" fontId="3" fillId="0" borderId="264" xfId="0" applyFont="1" applyFill="1" applyBorder="1" applyAlignment="1">
      <alignment horizontal="center" vertical="center"/>
    </xf>
    <xf numFmtId="0" fontId="3" fillId="0" borderId="274" xfId="0" applyFont="1" applyFill="1" applyBorder="1" applyAlignment="1">
      <alignment horizontal="center" vertical="center"/>
    </xf>
    <xf numFmtId="0" fontId="2" fillId="0" borderId="279" xfId="0" applyFont="1" applyFill="1" applyBorder="1" applyAlignment="1">
      <alignment horizontal="center" vertical="center"/>
    </xf>
    <xf numFmtId="2" fontId="0" fillId="0" borderId="247" xfId="1" applyNumberFormat="1" applyFont="1" applyBorder="1" applyAlignment="1">
      <alignment horizontal="center" vertical="center"/>
    </xf>
    <xf numFmtId="2" fontId="0" fillId="0" borderId="237" xfId="1" applyNumberFormat="1" applyFont="1" applyBorder="1" applyAlignment="1">
      <alignment horizontal="center" vertical="center"/>
    </xf>
    <xf numFmtId="0" fontId="0" fillId="0" borderId="255" xfId="0" applyFill="1" applyBorder="1" applyAlignment="1">
      <alignment horizontal="center" vertical="center"/>
    </xf>
    <xf numFmtId="0" fontId="0" fillId="0" borderId="254" xfId="0" applyFill="1" applyBorder="1" applyAlignment="1">
      <alignment horizontal="center" vertical="center"/>
    </xf>
    <xf numFmtId="9" fontId="0" fillId="0" borderId="6" xfId="0" applyNumberFormat="1" applyBorder="1" applyAlignment="1">
      <alignment horizontal="center" vertical="center" wrapText="1"/>
    </xf>
    <xf numFmtId="0" fontId="3" fillId="8" borderId="51" xfId="0" applyFont="1" applyFill="1" applyBorder="1" applyAlignment="1">
      <alignment horizontal="center" vertical="center"/>
    </xf>
    <xf numFmtId="2" fontId="2" fillId="8" borderId="47" xfId="0" applyNumberFormat="1" applyFont="1" applyFill="1" applyBorder="1" applyAlignment="1">
      <alignment horizontal="center" vertical="center"/>
    </xf>
    <xf numFmtId="0" fontId="3" fillId="8" borderId="51" xfId="0" applyFont="1" applyFill="1" applyBorder="1" applyAlignment="1">
      <alignment horizontal="center"/>
    </xf>
    <xf numFmtId="164" fontId="0" fillId="8" borderId="49" xfId="0" applyNumberFormat="1" applyFont="1" applyFill="1" applyBorder="1" applyAlignment="1">
      <alignment horizontal="center" vertical="center"/>
    </xf>
    <xf numFmtId="9" fontId="0" fillId="8" borderId="89" xfId="1" applyFont="1" applyFill="1" applyBorder="1" applyAlignment="1">
      <alignment horizontal="center" vertical="center"/>
    </xf>
    <xf numFmtId="2" fontId="0" fillId="8" borderId="163" xfId="1" applyNumberFormat="1" applyFont="1" applyFill="1" applyBorder="1" applyAlignment="1">
      <alignment horizontal="center" vertical="center"/>
    </xf>
    <xf numFmtId="2" fontId="0" fillId="6" borderId="163" xfId="1" applyNumberFormat="1" applyFont="1" applyFill="1" applyBorder="1" applyAlignment="1">
      <alignment horizontal="center" vertical="center"/>
    </xf>
    <xf numFmtId="0" fontId="3" fillId="8" borderId="278" xfId="0" applyFont="1" applyFill="1" applyBorder="1" applyAlignment="1">
      <alignment horizontal="center" vertical="center"/>
    </xf>
    <xf numFmtId="164" fontId="0" fillId="8" borderId="167" xfId="0" applyNumberFormat="1" applyFont="1" applyFill="1" applyBorder="1" applyAlignment="1">
      <alignment horizontal="center" vertical="center"/>
    </xf>
    <xf numFmtId="9" fontId="2" fillId="6" borderId="48" xfId="0" applyNumberFormat="1" applyFont="1" applyFill="1" applyBorder="1" applyAlignment="1">
      <alignment horizontal="center" vertical="center"/>
    </xf>
    <xf numFmtId="164" fontId="2" fillId="6" borderId="280" xfId="0" applyNumberFormat="1" applyFont="1" applyFill="1" applyBorder="1" applyAlignment="1">
      <alignment horizontal="center" vertical="center"/>
    </xf>
    <xf numFmtId="0" fontId="2" fillId="0" borderId="281" xfId="0" applyFont="1" applyBorder="1" applyAlignment="1">
      <alignment horizontal="center" vertical="center"/>
    </xf>
    <xf numFmtId="9" fontId="2" fillId="8" borderId="282" xfId="1" applyFont="1" applyFill="1" applyBorder="1" applyAlignment="1">
      <alignment horizontal="center" vertical="center"/>
    </xf>
    <xf numFmtId="0" fontId="2" fillId="0" borderId="283" xfId="0" applyFont="1" applyBorder="1" applyAlignment="1">
      <alignment horizontal="center" vertical="center"/>
    </xf>
    <xf numFmtId="0" fontId="2" fillId="0" borderId="284" xfId="0" applyFont="1" applyBorder="1" applyAlignment="1">
      <alignment horizontal="center" vertical="center"/>
    </xf>
    <xf numFmtId="2" fontId="0" fillId="8" borderId="23" xfId="1" applyNumberFormat="1" applyFont="1" applyFill="1" applyBorder="1" applyAlignment="1">
      <alignment horizontal="center" vertical="center"/>
    </xf>
    <xf numFmtId="2" fontId="0" fillId="8" borderId="28" xfId="1" applyNumberFormat="1" applyFont="1" applyFill="1" applyBorder="1" applyAlignment="1">
      <alignment horizontal="center" vertical="center"/>
    </xf>
    <xf numFmtId="0" fontId="0" fillId="0" borderId="285" xfId="0" applyBorder="1" applyAlignment="1">
      <alignment horizontal="center" vertical="center"/>
    </xf>
    <xf numFmtId="0" fontId="0" fillId="0" borderId="286" xfId="0" applyBorder="1" applyAlignment="1">
      <alignment horizontal="center" vertical="center"/>
    </xf>
    <xf numFmtId="164" fontId="2" fillId="0" borderId="107" xfId="0" applyNumberFormat="1" applyFont="1" applyBorder="1" applyAlignment="1">
      <alignment horizontal="center" vertical="center"/>
    </xf>
    <xf numFmtId="164" fontId="2" fillId="8" borderId="287" xfId="0" applyNumberFormat="1" applyFont="1" applyFill="1" applyBorder="1" applyAlignment="1">
      <alignment horizontal="center" vertical="center"/>
    </xf>
    <xf numFmtId="164" fontId="2" fillId="8" borderId="95" xfId="0" applyNumberFormat="1" applyFont="1" applyFill="1" applyBorder="1" applyAlignment="1">
      <alignment horizontal="center" vertical="center"/>
    </xf>
    <xf numFmtId="164" fontId="2" fillId="8" borderId="9" xfId="0" applyNumberFormat="1" applyFont="1" applyFill="1" applyBorder="1" applyAlignment="1">
      <alignment horizontal="center" vertical="center"/>
    </xf>
    <xf numFmtId="9" fontId="2" fillId="8" borderId="9" xfId="0" applyNumberFormat="1" applyFont="1" applyFill="1" applyBorder="1" applyAlignment="1">
      <alignment horizontal="center" vertical="center"/>
    </xf>
    <xf numFmtId="9" fontId="2" fillId="8" borderId="9" xfId="1" applyFont="1" applyFill="1" applyBorder="1" applyAlignment="1">
      <alignment horizontal="center" vertical="center"/>
    </xf>
    <xf numFmtId="9" fontId="2" fillId="8" borderId="87" xfId="1" applyFont="1" applyFill="1" applyBorder="1" applyAlignment="1">
      <alignment horizontal="center" vertical="center"/>
    </xf>
    <xf numFmtId="164" fontId="2" fillId="0" borderId="191" xfId="0" applyNumberFormat="1" applyFont="1" applyBorder="1" applyAlignment="1">
      <alignment horizontal="center" vertical="center"/>
    </xf>
    <xf numFmtId="164" fontId="2" fillId="0" borderId="192" xfId="0" applyNumberFormat="1" applyFont="1" applyBorder="1" applyAlignment="1">
      <alignment horizontal="center" vertical="center"/>
    </xf>
    <xf numFmtId="0" fontId="2" fillId="0" borderId="288" xfId="0" applyFont="1" applyBorder="1" applyAlignment="1">
      <alignment horizontal="center" vertical="center"/>
    </xf>
    <xf numFmtId="0" fontId="2" fillId="0" borderId="289" xfId="0" applyFont="1" applyBorder="1" applyAlignment="1">
      <alignment horizontal="center" vertical="center"/>
    </xf>
    <xf numFmtId="0" fontId="2" fillId="0" borderId="290" xfId="0" applyFont="1" applyBorder="1" applyAlignment="1">
      <alignment horizontal="center" vertical="center"/>
    </xf>
    <xf numFmtId="0" fontId="2" fillId="0" borderId="291" xfId="0" applyFont="1" applyBorder="1" applyAlignment="1">
      <alignment horizontal="center" vertical="center"/>
    </xf>
    <xf numFmtId="164" fontId="2" fillId="8" borderId="292" xfId="0" applyNumberFormat="1" applyFont="1" applyFill="1" applyBorder="1" applyAlignment="1">
      <alignment horizontal="center" vertical="center"/>
    </xf>
    <xf numFmtId="9" fontId="2" fillId="8" borderId="293" xfId="1" applyFont="1" applyFill="1" applyBorder="1" applyAlignment="1">
      <alignment horizontal="center" vertical="center"/>
    </xf>
    <xf numFmtId="2" fontId="2" fillId="8" borderId="292" xfId="1" applyNumberFormat="1" applyFont="1" applyFill="1" applyBorder="1" applyAlignment="1">
      <alignment horizontal="center" vertical="center"/>
    </xf>
    <xf numFmtId="2" fontId="2" fillId="8" borderId="294" xfId="1" applyNumberFormat="1" applyFont="1" applyFill="1" applyBorder="1" applyAlignment="1">
      <alignment horizontal="center" vertical="center"/>
    </xf>
    <xf numFmtId="164" fontId="0" fillId="8" borderId="49" xfId="0" applyNumberFormat="1" applyFill="1" applyBorder="1" applyAlignment="1">
      <alignment horizontal="center" vertical="center"/>
    </xf>
    <xf numFmtId="164" fontId="0" fillId="0" borderId="5" xfId="0" applyNumberFormat="1" applyBorder="1" applyAlignment="1">
      <alignment horizontal="center" vertical="center"/>
    </xf>
    <xf numFmtId="0" fontId="3" fillId="6" borderId="189" xfId="0" applyFont="1" applyFill="1" applyBorder="1" applyAlignment="1">
      <alignment horizontal="center" vertical="center"/>
    </xf>
    <xf numFmtId="0" fontId="3" fillId="0" borderId="295" xfId="0" applyFont="1" applyFill="1" applyBorder="1" applyAlignment="1">
      <alignment horizontal="center" vertical="center"/>
    </xf>
    <xf numFmtId="0" fontId="3" fillId="0" borderId="295" xfId="0" applyFont="1" applyBorder="1" applyAlignment="1">
      <alignment horizontal="center" vertical="center"/>
    </xf>
    <xf numFmtId="1" fontId="0" fillId="0" borderId="5" xfId="0" applyNumberFormat="1" applyBorder="1" applyAlignment="1">
      <alignment horizontal="center" vertical="center"/>
    </xf>
    <xf numFmtId="1" fontId="0" fillId="6" borderId="49" xfId="0" applyNumberFormat="1" applyFill="1" applyBorder="1" applyAlignment="1">
      <alignment horizontal="center" vertical="center"/>
    </xf>
    <xf numFmtId="1" fontId="0" fillId="0" borderId="202" xfId="0" applyNumberFormat="1" applyBorder="1" applyAlignment="1">
      <alignment horizontal="center" vertical="center"/>
    </xf>
    <xf numFmtId="9" fontId="5" fillId="0" borderId="6" xfId="0" applyNumberFormat="1" applyFont="1" applyBorder="1" applyAlignment="1">
      <alignment horizontal="center" vertical="center" wrapText="1"/>
    </xf>
    <xf numFmtId="0" fontId="0" fillId="0" borderId="8" xfId="0" applyFont="1" applyBorder="1" applyAlignment="1">
      <alignment horizontal="center" vertical="center" wrapText="1"/>
    </xf>
    <xf numFmtId="0" fontId="0" fillId="4" borderId="8" xfId="0" applyFill="1" applyBorder="1" applyAlignment="1">
      <alignment horizontal="center" vertical="center" wrapText="1"/>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2" fontId="0" fillId="6" borderId="5" xfId="0" applyNumberFormat="1" applyFill="1" applyBorder="1" applyAlignment="1">
      <alignment horizontal="center" vertical="center"/>
    </xf>
    <xf numFmtId="2" fontId="2" fillId="6" borderId="50" xfId="0" applyNumberFormat="1" applyFont="1" applyFill="1" applyBorder="1" applyAlignment="1">
      <alignment horizontal="center" vertical="center"/>
    </xf>
    <xf numFmtId="164" fontId="0" fillId="0" borderId="0" xfId="0" applyNumberFormat="1"/>
    <xf numFmtId="0" fontId="3" fillId="0" borderId="0" xfId="0" applyFont="1" applyAlignment="1">
      <alignment horizontal="center"/>
    </xf>
    <xf numFmtId="0" fontId="0" fillId="0" borderId="7" xfId="0" applyFill="1" applyBorder="1" applyAlignment="1">
      <alignment horizontal="center" vertical="center"/>
    </xf>
    <xf numFmtId="0" fontId="0" fillId="0" borderId="3" xfId="0" applyFill="1" applyBorder="1" applyAlignment="1">
      <alignment horizontal="center" vertical="center"/>
    </xf>
    <xf numFmtId="0" fontId="0" fillId="0" borderId="23" xfId="0" applyBorder="1" applyAlignment="1">
      <alignment horizontal="center" vertical="center"/>
    </xf>
    <xf numFmtId="0" fontId="0" fillId="0" borderId="95" xfId="0" applyBorder="1" applyAlignment="1">
      <alignment horizontal="center" vertical="center"/>
    </xf>
    <xf numFmtId="0" fontId="0" fillId="0" borderId="86" xfId="0" applyBorder="1" applyAlignment="1">
      <alignment horizontal="center" vertical="center"/>
    </xf>
    <xf numFmtId="0" fontId="0" fillId="0" borderId="1" xfId="0" applyFill="1" applyBorder="1" applyAlignment="1">
      <alignment horizontal="center" vertical="center"/>
    </xf>
    <xf numFmtId="0" fontId="5" fillId="6" borderId="47" xfId="0" applyFont="1" applyFill="1" applyBorder="1" applyAlignment="1">
      <alignment horizontal="center" vertical="center"/>
    </xf>
    <xf numFmtId="0" fontId="5" fillId="6" borderId="46" xfId="0" applyFont="1" applyFill="1" applyBorder="1" applyAlignment="1">
      <alignment horizontal="center" vertical="center"/>
    </xf>
    <xf numFmtId="0" fontId="3" fillId="0" borderId="26" xfId="0" applyFont="1" applyFill="1" applyBorder="1" applyAlignment="1">
      <alignment horizontal="center" vertical="center"/>
    </xf>
    <xf numFmtId="0" fontId="3" fillId="0" borderId="26" xfId="0" applyFont="1" applyBorder="1" applyAlignment="1">
      <alignment horizontal="center" vertical="center"/>
    </xf>
    <xf numFmtId="0" fontId="3" fillId="0" borderId="110" xfId="0" applyFont="1" applyBorder="1" applyAlignment="1">
      <alignment horizontal="center"/>
    </xf>
    <xf numFmtId="0" fontId="3" fillId="0" borderId="26" xfId="0" applyFont="1" applyBorder="1" applyAlignment="1">
      <alignment horizontal="center"/>
    </xf>
    <xf numFmtId="0" fontId="3" fillId="0" borderId="32" xfId="0" applyFont="1" applyBorder="1" applyAlignment="1">
      <alignment horizontal="center" wrapText="1"/>
    </xf>
    <xf numFmtId="0" fontId="3" fillId="6" borderId="110" xfId="0" applyFont="1" applyFill="1" applyBorder="1" applyAlignment="1">
      <alignment horizontal="center"/>
    </xf>
    <xf numFmtId="0" fontId="3" fillId="0" borderId="300" xfId="0" applyFont="1" applyBorder="1" applyAlignment="1">
      <alignment horizontal="center" vertical="center"/>
    </xf>
    <xf numFmtId="0" fontId="0" fillId="8" borderId="169" xfId="0" applyFill="1" applyBorder="1" applyAlignment="1">
      <alignment horizontal="center" vertical="center"/>
    </xf>
    <xf numFmtId="0" fontId="0" fillId="8" borderId="170" xfId="0" applyFill="1" applyBorder="1" applyAlignment="1">
      <alignment horizontal="center" vertical="center"/>
    </xf>
    <xf numFmtId="0" fontId="0" fillId="8" borderId="171" xfId="0" applyFont="1" applyFill="1" applyBorder="1" applyAlignment="1">
      <alignment horizontal="center" vertical="center"/>
    </xf>
    <xf numFmtId="0" fontId="0" fillId="8" borderId="172" xfId="0" applyFill="1" applyBorder="1" applyAlignment="1">
      <alignment horizontal="center" vertical="center"/>
    </xf>
    <xf numFmtId="164" fontId="0" fillId="8" borderId="168" xfId="0" applyNumberFormat="1" applyFill="1" applyBorder="1" applyAlignment="1">
      <alignment horizontal="center" vertical="center"/>
    </xf>
    <xf numFmtId="0" fontId="3" fillId="8" borderId="302" xfId="0" applyFont="1" applyFill="1" applyBorder="1" applyAlignment="1">
      <alignment horizontal="center"/>
    </xf>
    <xf numFmtId="164" fontId="0" fillId="8" borderId="167" xfId="0" applyNumberFormat="1" applyFill="1" applyBorder="1" applyAlignment="1">
      <alignment horizontal="center" vertical="center"/>
    </xf>
    <xf numFmtId="165" fontId="2" fillId="8" borderId="175" xfId="0" applyNumberFormat="1" applyFont="1" applyFill="1" applyBorder="1" applyAlignment="1">
      <alignment horizontal="center" vertical="center"/>
    </xf>
    <xf numFmtId="164" fontId="2" fillId="8" borderId="303" xfId="0" applyNumberFormat="1" applyFont="1" applyFill="1" applyBorder="1" applyAlignment="1">
      <alignment horizontal="center" vertical="center"/>
    </xf>
    <xf numFmtId="164" fontId="0" fillId="8" borderId="173" xfId="0" applyNumberFormat="1" applyFont="1" applyFill="1" applyBorder="1" applyAlignment="1">
      <alignment horizontal="center" vertical="center"/>
    </xf>
    <xf numFmtId="9" fontId="0" fillId="8" borderId="167" xfId="1" applyFont="1" applyFill="1" applyBorder="1" applyAlignment="1">
      <alignment horizontal="center" vertical="center"/>
    </xf>
    <xf numFmtId="2" fontId="0" fillId="8" borderId="168" xfId="1" applyNumberFormat="1" applyFont="1" applyFill="1" applyBorder="1" applyAlignment="1">
      <alignment horizontal="center" vertical="center"/>
    </xf>
    <xf numFmtId="9" fontId="0" fillId="8" borderId="169" xfId="1" applyFont="1" applyFill="1" applyBorder="1" applyAlignment="1">
      <alignment horizontal="center" vertical="center"/>
    </xf>
    <xf numFmtId="2" fontId="0" fillId="8" borderId="173" xfId="1" applyNumberFormat="1" applyFont="1" applyFill="1" applyBorder="1" applyAlignment="1">
      <alignment horizontal="center" vertical="center"/>
    </xf>
    <xf numFmtId="2" fontId="0" fillId="8" borderId="304" xfId="1" applyNumberFormat="1" applyFont="1" applyFill="1" applyBorder="1" applyAlignment="1">
      <alignment horizontal="center" vertical="center"/>
    </xf>
    <xf numFmtId="1" fontId="2" fillId="6" borderId="50" xfId="0" applyNumberFormat="1" applyFont="1" applyFill="1" applyBorder="1" applyAlignment="1">
      <alignment horizontal="center" vertical="center"/>
    </xf>
    <xf numFmtId="0" fontId="0" fillId="0" borderId="7" xfId="0" applyFill="1" applyBorder="1" applyAlignment="1">
      <alignment horizontal="center" vertical="center"/>
    </xf>
    <xf numFmtId="0" fontId="0" fillId="0" borderId="3" xfId="0" applyFill="1" applyBorder="1" applyAlignment="1">
      <alignment horizontal="center" vertical="center"/>
    </xf>
    <xf numFmtId="0" fontId="0" fillId="0" borderId="156" xfId="0" applyFill="1" applyBorder="1" applyAlignment="1">
      <alignment horizontal="center" vertical="center"/>
    </xf>
    <xf numFmtId="0" fontId="0" fillId="0" borderId="7" xfId="0" applyFill="1" applyBorder="1" applyAlignment="1">
      <alignment horizontal="center" vertical="center"/>
    </xf>
    <xf numFmtId="0" fontId="0" fillId="0" borderId="78" xfId="0" applyFill="1" applyBorder="1" applyAlignment="1">
      <alignment horizontal="center" vertical="center"/>
    </xf>
    <xf numFmtId="0" fontId="0" fillId="0" borderId="1" xfId="0" applyFill="1" applyBorder="1" applyAlignment="1">
      <alignment horizontal="center" vertical="center"/>
    </xf>
    <xf numFmtId="0" fontId="0" fillId="6" borderId="47" xfId="0" applyFont="1" applyFill="1" applyBorder="1" applyAlignment="1">
      <alignment horizontal="center" vertical="center"/>
    </xf>
    <xf numFmtId="2" fontId="0" fillId="6" borderId="46" xfId="0" applyNumberFormat="1" applyFill="1" applyBorder="1" applyAlignment="1">
      <alignment horizontal="center" vertical="center"/>
    </xf>
    <xf numFmtId="9" fontId="0" fillId="6" borderId="49" xfId="0" applyNumberFormat="1" applyFont="1" applyFill="1" applyBorder="1" applyAlignment="1">
      <alignment horizontal="center" vertical="center"/>
    </xf>
    <xf numFmtId="0" fontId="0" fillId="6" borderId="46" xfId="0" applyFont="1" applyFill="1" applyBorder="1" applyAlignment="1">
      <alignment horizontal="center" vertical="center"/>
    </xf>
    <xf numFmtId="0" fontId="0" fillId="0" borderId="103" xfId="0" applyFill="1" applyBorder="1" applyAlignment="1">
      <alignment horizontal="center" vertical="center"/>
    </xf>
    <xf numFmtId="0" fontId="3" fillId="0" borderId="101" xfId="0" applyFont="1" applyFill="1" applyBorder="1" applyAlignment="1">
      <alignment horizontal="center" vertical="center"/>
    </xf>
    <xf numFmtId="0" fontId="0" fillId="6" borderId="305" xfId="0" applyFill="1" applyBorder="1" applyAlignment="1">
      <alignment horizontal="center" vertical="center"/>
    </xf>
    <xf numFmtId="0" fontId="0" fillId="6" borderId="296" xfId="0" applyFill="1" applyBorder="1" applyAlignment="1">
      <alignment horizontal="center" vertical="center"/>
    </xf>
    <xf numFmtId="0" fontId="0" fillId="6" borderId="299" xfId="0" applyFill="1" applyBorder="1" applyAlignment="1">
      <alignment horizontal="center" vertical="center"/>
    </xf>
    <xf numFmtId="0" fontId="0" fillId="6" borderId="297" xfId="0" applyFill="1" applyBorder="1" applyAlignment="1">
      <alignment horizontal="center" vertical="center"/>
    </xf>
    <xf numFmtId="0" fontId="0" fillId="6" borderId="306" xfId="0" applyFill="1" applyBorder="1" applyAlignment="1">
      <alignment horizontal="center" vertical="center"/>
    </xf>
    <xf numFmtId="0" fontId="3" fillId="6" borderId="308" xfId="0" applyFont="1" applyFill="1" applyBorder="1" applyAlignment="1">
      <alignment horizontal="center" vertical="center"/>
    </xf>
    <xf numFmtId="2" fontId="2" fillId="6" borderId="309" xfId="0" applyNumberFormat="1" applyFont="1" applyFill="1" applyBorder="1" applyAlignment="1">
      <alignment horizontal="center" vertical="center"/>
    </xf>
    <xf numFmtId="2" fontId="0" fillId="6" borderId="296" xfId="0" applyNumberFormat="1" applyFill="1" applyBorder="1" applyAlignment="1">
      <alignment horizontal="center" vertical="center"/>
    </xf>
    <xf numFmtId="0" fontId="2" fillId="6" borderId="309" xfId="0" applyFont="1" applyFill="1" applyBorder="1" applyAlignment="1">
      <alignment horizontal="center" vertical="center"/>
    </xf>
    <xf numFmtId="0" fontId="2" fillId="6" borderId="296" xfId="0" applyFont="1" applyFill="1" applyBorder="1" applyAlignment="1">
      <alignment horizontal="center" vertical="center"/>
    </xf>
    <xf numFmtId="164" fontId="2" fillId="6" borderId="309" xfId="0" applyNumberFormat="1" applyFont="1" applyFill="1" applyBorder="1" applyAlignment="1">
      <alignment horizontal="center" vertical="center"/>
    </xf>
    <xf numFmtId="164" fontId="2" fillId="6" borderId="296" xfId="0" applyNumberFormat="1" applyFont="1" applyFill="1" applyBorder="1" applyAlignment="1">
      <alignment horizontal="center" vertical="center"/>
    </xf>
    <xf numFmtId="9" fontId="2" fillId="6" borderId="296" xfId="0" applyNumberFormat="1" applyFont="1" applyFill="1" applyBorder="1" applyAlignment="1">
      <alignment horizontal="center" vertical="center"/>
    </xf>
    <xf numFmtId="9" fontId="2" fillId="6" borderId="298" xfId="1" applyFont="1" applyFill="1" applyBorder="1" applyAlignment="1">
      <alignment horizontal="center" vertical="center"/>
    </xf>
    <xf numFmtId="2" fontId="0" fillId="6" borderId="306" xfId="1" applyNumberFormat="1" applyFont="1" applyFill="1" applyBorder="1" applyAlignment="1">
      <alignment horizontal="center" vertical="center"/>
    </xf>
    <xf numFmtId="2" fontId="0" fillId="6" borderId="305" xfId="1" applyNumberFormat="1" applyFont="1" applyFill="1" applyBorder="1" applyAlignment="1">
      <alignment horizontal="center" vertical="center"/>
    </xf>
    <xf numFmtId="0" fontId="0" fillId="0" borderId="81" xfId="0" applyFill="1" applyBorder="1" applyAlignment="1">
      <alignment horizontal="center" vertical="center"/>
    </xf>
    <xf numFmtId="0" fontId="0" fillId="0" borderId="79" xfId="0" applyFill="1" applyBorder="1" applyAlignment="1">
      <alignment horizontal="center" vertical="center"/>
    </xf>
    <xf numFmtId="0" fontId="0" fillId="0" borderId="78" xfId="0" applyBorder="1" applyAlignment="1">
      <alignment horizontal="center"/>
    </xf>
    <xf numFmtId="0" fontId="0" fillId="0" borderId="79" xfId="0" applyBorder="1" applyAlignment="1">
      <alignment horizontal="center"/>
    </xf>
    <xf numFmtId="0" fontId="0" fillId="6" borderId="313" xfId="0" applyFill="1" applyBorder="1" applyAlignment="1">
      <alignment horizontal="center" vertical="center"/>
    </xf>
    <xf numFmtId="0" fontId="0" fillId="6" borderId="312" xfId="0" applyFill="1" applyBorder="1" applyAlignment="1">
      <alignment horizontal="center" vertical="center"/>
    </xf>
    <xf numFmtId="0" fontId="0" fillId="6" borderId="314" xfId="0" applyFont="1" applyFill="1" applyBorder="1" applyAlignment="1">
      <alignment horizontal="center" vertical="center"/>
    </xf>
    <xf numFmtId="0" fontId="0" fillId="6" borderId="314" xfId="0" applyFill="1" applyBorder="1" applyAlignment="1">
      <alignment horizontal="center" vertical="center"/>
    </xf>
    <xf numFmtId="0" fontId="0" fillId="6" borderId="313" xfId="0" applyFill="1" applyBorder="1" applyAlignment="1">
      <alignment horizontal="center"/>
    </xf>
    <xf numFmtId="0" fontId="0" fillId="6" borderId="312" xfId="0" applyFont="1" applyFill="1" applyBorder="1" applyAlignment="1">
      <alignment horizontal="center" vertical="center"/>
    </xf>
    <xf numFmtId="0" fontId="0" fillId="6" borderId="313" xfId="0" applyFont="1" applyFill="1" applyBorder="1" applyAlignment="1">
      <alignment horizontal="center" vertical="center"/>
    </xf>
    <xf numFmtId="0" fontId="0" fillId="6" borderId="314" xfId="0" applyFill="1" applyBorder="1" applyAlignment="1">
      <alignment horizontal="center"/>
    </xf>
    <xf numFmtId="164" fontId="0" fillId="6" borderId="305" xfId="0" applyNumberFormat="1" applyFill="1" applyBorder="1" applyAlignment="1">
      <alignment horizontal="center" vertical="center"/>
    </xf>
    <xf numFmtId="0" fontId="3" fillId="6" borderId="308" xfId="0" applyFont="1" applyFill="1" applyBorder="1" applyAlignment="1">
      <alignment horizontal="center"/>
    </xf>
    <xf numFmtId="165" fontId="2" fillId="6" borderId="309" xfId="0" applyNumberFormat="1" applyFont="1" applyFill="1" applyBorder="1" applyAlignment="1">
      <alignment horizontal="center" vertical="center"/>
    </xf>
    <xf numFmtId="164" fontId="0" fillId="6" borderId="306" xfId="0" applyNumberFormat="1" applyFont="1" applyFill="1" applyBorder="1" applyAlignment="1">
      <alignment horizontal="center" vertical="center"/>
    </xf>
    <xf numFmtId="2" fontId="2" fillId="6" borderId="297" xfId="0" applyNumberFormat="1" applyFont="1" applyFill="1" applyBorder="1" applyAlignment="1">
      <alignment horizontal="center" vertical="center"/>
    </xf>
    <xf numFmtId="9" fontId="0" fillId="6" borderId="296" xfId="1" applyFont="1" applyFill="1" applyBorder="1" applyAlignment="1">
      <alignment horizontal="center" vertical="center"/>
    </xf>
    <xf numFmtId="2" fontId="0" fillId="6" borderId="297" xfId="1" applyNumberFormat="1" applyFont="1" applyFill="1" applyBorder="1" applyAlignment="1">
      <alignment horizontal="center" vertical="center"/>
    </xf>
    <xf numFmtId="9" fontId="0" fillId="6" borderId="316" xfId="1" applyFont="1" applyFill="1" applyBorder="1" applyAlignment="1">
      <alignment horizontal="center" vertical="center"/>
    </xf>
    <xf numFmtId="2" fontId="0" fillId="6" borderId="316" xfId="1" applyNumberFormat="1" applyFont="1" applyFill="1" applyBorder="1" applyAlignment="1">
      <alignment horizontal="center" vertical="center"/>
    </xf>
    <xf numFmtId="167" fontId="2" fillId="0" borderId="283" xfId="0" applyNumberFormat="1" applyFont="1" applyBorder="1" applyAlignment="1">
      <alignment horizontal="center" vertical="center"/>
    </xf>
    <xf numFmtId="167" fontId="2" fillId="0" borderId="284" xfId="0" applyNumberFormat="1" applyFont="1" applyBorder="1" applyAlignment="1">
      <alignment horizontal="center" vertical="center"/>
    </xf>
    <xf numFmtId="167" fontId="2" fillId="0" borderId="281" xfId="0" applyNumberFormat="1" applyFont="1" applyBorder="1" applyAlignment="1">
      <alignment horizontal="center" vertical="center"/>
    </xf>
    <xf numFmtId="0" fontId="0" fillId="0" borderId="156" xfId="0" applyFill="1" applyBorder="1" applyAlignment="1">
      <alignment horizontal="center" vertical="center"/>
    </xf>
    <xf numFmtId="0" fontId="0" fillId="0" borderId="7" xfId="0" applyFill="1" applyBorder="1" applyAlignment="1">
      <alignment horizontal="center" vertical="center"/>
    </xf>
    <xf numFmtId="0" fontId="0" fillId="0" borderId="3" xfId="0" applyFill="1" applyBorder="1" applyAlignment="1">
      <alignment horizontal="center" vertical="center"/>
    </xf>
    <xf numFmtId="0" fontId="2" fillId="6" borderId="280" xfId="1" applyNumberFormat="1" applyFont="1" applyFill="1" applyBorder="1" applyAlignment="1">
      <alignment horizontal="center" vertical="center"/>
    </xf>
    <xf numFmtId="0" fontId="2" fillId="6" borderId="310" xfId="1" applyNumberFormat="1" applyFont="1" applyFill="1" applyBorder="1" applyAlignment="1">
      <alignment horizontal="center" vertical="center"/>
    </xf>
    <xf numFmtId="2" fontId="2" fillId="6" borderId="280" xfId="1" applyNumberFormat="1" applyFont="1" applyFill="1" applyBorder="1" applyAlignment="1">
      <alignment horizontal="center" vertical="center"/>
    </xf>
    <xf numFmtId="2" fontId="0" fillId="6" borderId="49" xfId="1" applyNumberFormat="1" applyFont="1" applyFill="1" applyBorder="1" applyAlignment="1">
      <alignment horizontal="center" vertical="center"/>
    </xf>
    <xf numFmtId="2" fontId="0" fillId="6" borderId="296" xfId="1" applyNumberFormat="1" applyFont="1" applyFill="1" applyBorder="1" applyAlignment="1">
      <alignment horizontal="center" vertical="center"/>
    </xf>
    <xf numFmtId="0" fontId="0" fillId="6" borderId="49" xfId="1" applyNumberFormat="1" applyFont="1" applyFill="1" applyBorder="1" applyAlignment="1">
      <alignment horizontal="center" vertical="center"/>
    </xf>
    <xf numFmtId="2" fontId="0" fillId="0" borderId="5" xfId="0" applyNumberFormat="1" applyFill="1" applyBorder="1" applyAlignment="1">
      <alignment horizontal="center" vertical="center"/>
    </xf>
    <xf numFmtId="2" fontId="0" fillId="0" borderId="84" xfId="0" applyNumberFormat="1" applyFill="1" applyBorder="1" applyAlignment="1">
      <alignment horizontal="center" vertical="center"/>
    </xf>
    <xf numFmtId="164" fontId="2" fillId="0" borderId="79" xfId="0" applyNumberFormat="1" applyFont="1" applyBorder="1" applyAlignment="1">
      <alignment horizontal="center" vertical="center"/>
    </xf>
    <xf numFmtId="2" fontId="0" fillId="0" borderId="8" xfId="0" applyNumberFormat="1" applyFill="1" applyBorder="1" applyAlignment="1">
      <alignment horizontal="center" vertical="center"/>
    </xf>
    <xf numFmtId="0" fontId="0" fillId="0" borderId="92" xfId="0" applyBorder="1" applyAlignment="1">
      <alignment horizontal="center"/>
    </xf>
    <xf numFmtId="0" fontId="0" fillId="0" borderId="317" xfId="0" applyBorder="1" applyAlignment="1">
      <alignment horizontal="center"/>
    </xf>
    <xf numFmtId="0" fontId="0" fillId="0" borderId="123" xfId="0" applyBorder="1" applyAlignment="1">
      <alignment horizontal="center"/>
    </xf>
    <xf numFmtId="0" fontId="0" fillId="6" borderId="120" xfId="0" applyFill="1" applyBorder="1" applyAlignment="1">
      <alignment horizontal="center"/>
    </xf>
    <xf numFmtId="0" fontId="0" fillId="6" borderId="48" xfId="0" applyFont="1" applyFill="1" applyBorder="1" applyAlignment="1">
      <alignment horizontal="center" vertical="center"/>
    </xf>
    <xf numFmtId="0" fontId="0" fillId="6" borderId="91" xfId="0" applyFill="1" applyBorder="1" applyAlignment="1">
      <alignment horizontal="center"/>
    </xf>
    <xf numFmtId="0" fontId="0" fillId="6" borderId="312" xfId="0" applyFill="1" applyBorder="1" applyAlignment="1">
      <alignment horizontal="center"/>
    </xf>
    <xf numFmtId="0" fontId="0" fillId="0" borderId="318" xfId="0" applyBorder="1" applyAlignment="1">
      <alignment horizontal="center"/>
    </xf>
    <xf numFmtId="0" fontId="0" fillId="0" borderId="126" xfId="0" applyBorder="1" applyAlignment="1">
      <alignment horizontal="center"/>
    </xf>
    <xf numFmtId="0" fontId="0" fillId="6" borderId="68" xfId="0" applyFill="1" applyBorder="1" applyAlignment="1">
      <alignment horizontal="center"/>
    </xf>
    <xf numFmtId="0" fontId="0" fillId="0" borderId="101" xfId="0" applyFill="1" applyBorder="1" applyAlignment="1">
      <alignment horizontal="center" vertical="center"/>
    </xf>
    <xf numFmtId="0" fontId="0" fillId="0" borderId="34" xfId="0" applyFill="1" applyBorder="1" applyAlignment="1">
      <alignment horizontal="center" vertical="center"/>
    </xf>
    <xf numFmtId="0" fontId="0" fillId="0" borderId="307" xfId="0" applyFill="1" applyBorder="1" applyAlignment="1">
      <alignment horizontal="center" vertical="center"/>
    </xf>
    <xf numFmtId="0" fontId="0" fillId="0" borderId="3" xfId="0" applyFill="1" applyBorder="1" applyAlignment="1">
      <alignment horizontal="center" vertical="center"/>
    </xf>
    <xf numFmtId="0" fontId="0" fillId="0" borderId="7" xfId="0" applyFill="1" applyBorder="1" applyAlignment="1">
      <alignment horizontal="center" vertical="center"/>
    </xf>
    <xf numFmtId="0" fontId="0" fillId="0" borderId="48" xfId="0" applyFill="1" applyBorder="1" applyAlignment="1">
      <alignment horizontal="center" vertical="center"/>
    </xf>
    <xf numFmtId="0" fontId="0" fillId="0" borderId="78" xfId="0" applyBorder="1" applyAlignment="1">
      <alignment horizontal="center" vertical="center"/>
    </xf>
    <xf numFmtId="0" fontId="0" fillId="0" borderId="1" xfId="0" applyBorder="1" applyAlignment="1">
      <alignment horizontal="center" vertical="center"/>
    </xf>
    <xf numFmtId="0" fontId="0" fillId="0" borderId="91" xfId="0" applyBorder="1" applyAlignment="1">
      <alignment horizontal="center" vertical="center"/>
    </xf>
    <xf numFmtId="0" fontId="0" fillId="0" borderId="101" xfId="0" applyBorder="1" applyAlignment="1">
      <alignment horizontal="center" vertical="center"/>
    </xf>
    <xf numFmtId="0" fontId="0" fillId="0" borderId="34" xfId="0" applyBorder="1" applyAlignment="1">
      <alignment horizontal="center" vertical="center"/>
    </xf>
    <xf numFmtId="0" fontId="0" fillId="0" borderId="63" xfId="0" applyBorder="1" applyAlignment="1">
      <alignment horizontal="center" vertical="center"/>
    </xf>
    <xf numFmtId="0" fontId="0" fillId="0" borderId="63" xfId="0" applyFill="1" applyBorder="1" applyAlignment="1">
      <alignment horizontal="center" vertical="center"/>
    </xf>
    <xf numFmtId="0" fontId="0" fillId="0" borderId="156" xfId="0" applyFill="1" applyBorder="1" applyAlignment="1">
      <alignment horizontal="center" vertical="center"/>
    </xf>
    <xf numFmtId="0" fontId="0" fillId="0" borderId="164" xfId="0" applyBorder="1" applyAlignment="1">
      <alignment horizontal="center" vertical="center"/>
    </xf>
    <xf numFmtId="0" fontId="0" fillId="0" borderId="174" xfId="0" applyBorder="1" applyAlignment="1">
      <alignment horizontal="center" vertical="center"/>
    </xf>
    <xf numFmtId="0" fontId="0" fillId="0" borderId="0" xfId="0" applyAlignment="1">
      <alignment horizontal="center" wrapText="1"/>
    </xf>
    <xf numFmtId="0" fontId="0" fillId="0" borderId="69" xfId="0" applyBorder="1" applyAlignment="1">
      <alignment horizontal="center" vertical="center"/>
    </xf>
    <xf numFmtId="0" fontId="0" fillId="0" borderId="24" xfId="0" applyBorder="1" applyAlignment="1">
      <alignment horizontal="center" vertical="center"/>
    </xf>
    <xf numFmtId="0" fontId="0" fillId="0" borderId="53" xfId="0" applyBorder="1" applyAlignment="1">
      <alignment horizontal="center" vertical="center"/>
    </xf>
    <xf numFmtId="0" fontId="0" fillId="0" borderId="80" xfId="0" applyBorder="1" applyAlignment="1">
      <alignment horizontal="center" vertical="center"/>
    </xf>
    <xf numFmtId="0" fontId="0" fillId="0" borderId="92" xfId="0" applyBorder="1" applyAlignment="1">
      <alignment horizontal="center" vertical="center"/>
    </xf>
    <xf numFmtId="0" fontId="0" fillId="0" borderId="100" xfId="0" applyBorder="1" applyAlignment="1">
      <alignment horizontal="center" vertical="center"/>
    </xf>
    <xf numFmtId="0" fontId="1" fillId="0" borderId="209" xfId="0" applyFont="1" applyBorder="1" applyAlignment="1">
      <alignment horizontal="center"/>
    </xf>
    <xf numFmtId="0" fontId="1" fillId="0" borderId="210" xfId="0" applyFont="1" applyBorder="1" applyAlignment="1">
      <alignment horizontal="center"/>
    </xf>
    <xf numFmtId="0" fontId="1" fillId="0" borderId="211" xfId="0" applyFont="1" applyBorder="1" applyAlignment="1">
      <alignment horizontal="center" vertical="center"/>
    </xf>
    <xf numFmtId="0" fontId="1" fillId="0" borderId="213" xfId="0" applyFont="1" applyBorder="1" applyAlignment="1">
      <alignment horizontal="center" vertical="center"/>
    </xf>
    <xf numFmtId="0" fontId="1" fillId="0" borderId="192" xfId="0" applyFont="1" applyBorder="1" applyAlignment="1">
      <alignment horizontal="center"/>
    </xf>
    <xf numFmtId="0" fontId="1" fillId="0" borderId="214" xfId="0" applyFont="1" applyBorder="1" applyAlignment="1">
      <alignment horizontal="center"/>
    </xf>
    <xf numFmtId="0" fontId="1" fillId="0" borderId="64" xfId="0" applyFont="1" applyBorder="1" applyAlignment="1">
      <alignment horizontal="center" vertical="center"/>
    </xf>
    <xf numFmtId="0" fontId="1" fillId="0" borderId="158" xfId="0" applyFont="1" applyBorder="1" applyAlignment="1">
      <alignment horizontal="center" vertical="center"/>
    </xf>
    <xf numFmtId="0" fontId="1" fillId="0" borderId="65" xfId="0" applyFont="1" applyBorder="1" applyAlignment="1">
      <alignment horizontal="center" vertical="center"/>
    </xf>
    <xf numFmtId="0" fontId="1" fillId="0" borderId="161" xfId="0" applyFont="1" applyBorder="1" applyAlignment="1">
      <alignment horizontal="center" vertical="center"/>
    </xf>
    <xf numFmtId="0" fontId="1" fillId="0" borderId="35" xfId="0" applyFont="1" applyBorder="1" applyAlignment="1">
      <alignment horizontal="center" vertical="center"/>
    </xf>
    <xf numFmtId="0" fontId="1" fillId="0" borderId="159" xfId="0" applyFont="1" applyBorder="1" applyAlignment="1">
      <alignment horizontal="center" vertical="center"/>
    </xf>
    <xf numFmtId="0" fontId="1" fillId="0" borderId="219" xfId="0" applyFont="1" applyBorder="1" applyAlignment="1">
      <alignment horizontal="center"/>
    </xf>
    <xf numFmtId="0" fontId="1" fillId="0" borderId="157" xfId="0" applyFont="1" applyBorder="1" applyAlignment="1">
      <alignment horizontal="center"/>
    </xf>
    <xf numFmtId="0" fontId="1" fillId="0" borderId="217" xfId="0" applyFont="1" applyBorder="1" applyAlignment="1">
      <alignment horizontal="center"/>
    </xf>
    <xf numFmtId="0" fontId="1" fillId="0" borderId="215" xfId="0" applyFont="1" applyBorder="1" applyAlignment="1">
      <alignment horizontal="center"/>
    </xf>
    <xf numFmtId="0" fontId="1" fillId="0" borderId="216" xfId="0" applyFont="1" applyBorder="1" applyAlignment="1">
      <alignment horizontal="center"/>
    </xf>
    <xf numFmtId="0" fontId="1" fillId="0" borderId="218" xfId="0" applyFont="1" applyBorder="1" applyAlignment="1">
      <alignment horizontal="center"/>
    </xf>
    <xf numFmtId="0" fontId="1" fillId="0" borderId="132" xfId="0" applyFont="1" applyBorder="1" applyAlignment="1">
      <alignment horizontal="center"/>
    </xf>
    <xf numFmtId="0" fontId="1" fillId="0" borderId="133" xfId="0" applyFont="1" applyBorder="1" applyAlignment="1">
      <alignment horizontal="center"/>
    </xf>
    <xf numFmtId="0" fontId="7" fillId="0" borderId="251" xfId="0" applyFont="1" applyBorder="1" applyAlignment="1">
      <alignment horizontal="center"/>
    </xf>
    <xf numFmtId="0" fontId="7" fillId="0" borderId="0" xfId="0" applyFont="1" applyBorder="1" applyAlignment="1">
      <alignment horizontal="center"/>
    </xf>
    <xf numFmtId="0" fontId="1" fillId="0" borderId="199" xfId="0" applyFont="1" applyBorder="1" applyAlignment="1">
      <alignment horizontal="center"/>
    </xf>
    <xf numFmtId="0" fontId="1" fillId="0" borderId="2" xfId="0" applyFont="1" applyBorder="1" applyAlignment="1">
      <alignment horizontal="center"/>
    </xf>
    <xf numFmtId="0" fontId="1" fillId="0" borderId="200"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0" fillId="0" borderId="94" xfId="0" applyBorder="1" applyAlignment="1">
      <alignment horizontal="center" vertical="center"/>
    </xf>
    <xf numFmtId="0" fontId="0" fillId="0" borderId="25" xfId="0" applyBorder="1" applyAlignment="1">
      <alignment horizontal="center" vertical="center"/>
    </xf>
    <xf numFmtId="0" fontId="0" fillId="0" borderId="185" xfId="0" applyBorder="1" applyAlignment="1">
      <alignment horizontal="center" vertical="center"/>
    </xf>
    <xf numFmtId="0" fontId="1" fillId="0" borderId="64" xfId="0" applyFont="1" applyBorder="1" applyAlignment="1">
      <alignment horizontal="center"/>
    </xf>
    <xf numFmtId="0" fontId="1" fillId="0" borderId="158" xfId="0" applyFont="1" applyBorder="1" applyAlignment="1">
      <alignment horizontal="center"/>
    </xf>
    <xf numFmtId="0" fontId="0" fillId="0" borderId="60" xfId="0" applyBorder="1" applyAlignment="1">
      <alignment horizontal="center" vertical="center"/>
    </xf>
    <xf numFmtId="0" fontId="0" fillId="0" borderId="15" xfId="0" applyBorder="1" applyAlignment="1">
      <alignment horizontal="center" vertical="center"/>
    </xf>
    <xf numFmtId="0" fontId="0" fillId="0" borderId="47" xfId="0" applyBorder="1" applyAlignment="1">
      <alignment horizontal="center" vertical="center"/>
    </xf>
    <xf numFmtId="0" fontId="0" fillId="0" borderId="23"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0" fillId="0" borderId="95" xfId="0" applyBorder="1" applyAlignment="1">
      <alignment horizontal="center" vertical="center"/>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179" xfId="0" applyBorder="1" applyAlignment="1">
      <alignment horizontal="center" vertical="center"/>
    </xf>
    <xf numFmtId="0" fontId="1" fillId="0" borderId="212" xfId="0" applyFont="1" applyBorder="1" applyAlignment="1">
      <alignment horizontal="center" vertical="center"/>
    </xf>
    <xf numFmtId="0" fontId="1" fillId="0" borderId="198" xfId="0" applyFont="1" applyBorder="1" applyAlignment="1">
      <alignment horizontal="center" vertical="center"/>
    </xf>
    <xf numFmtId="0" fontId="0" fillId="0" borderId="299" xfId="0" applyFill="1" applyBorder="1" applyAlignment="1">
      <alignment horizontal="center" vertical="center"/>
    </xf>
    <xf numFmtId="0" fontId="0" fillId="0" borderId="78" xfId="0" applyFill="1" applyBorder="1" applyAlignment="1">
      <alignment horizontal="center" vertical="center"/>
    </xf>
    <xf numFmtId="0" fontId="0" fillId="0" borderId="1" xfId="0" applyFill="1" applyBorder="1" applyAlignment="1">
      <alignment horizontal="center" vertical="center"/>
    </xf>
    <xf numFmtId="0" fontId="0" fillId="0" borderId="91" xfId="0" applyFill="1" applyBorder="1" applyAlignment="1">
      <alignment horizontal="center" vertical="center"/>
    </xf>
    <xf numFmtId="0" fontId="0" fillId="0" borderId="149" xfId="0" applyBorder="1" applyAlignment="1">
      <alignment horizontal="center" vertical="center" wrapText="1"/>
    </xf>
    <xf numFmtId="0" fontId="0" fillId="0" borderId="0" xfId="0" applyBorder="1" applyAlignment="1">
      <alignment horizontal="center" vertical="center" wrapText="1"/>
    </xf>
    <xf numFmtId="0" fontId="0" fillId="0" borderId="52" xfId="0" applyBorder="1" applyAlignment="1">
      <alignment horizontal="center" vertical="center" wrapText="1"/>
    </xf>
    <xf numFmtId="0" fontId="0" fillId="0" borderId="312" xfId="0" applyFill="1" applyBorder="1" applyAlignment="1">
      <alignment horizontal="center" vertical="center"/>
    </xf>
    <xf numFmtId="0" fontId="0" fillId="0" borderId="311" xfId="0" applyBorder="1" applyAlignment="1">
      <alignment horizontal="center" vertical="center" wrapText="1"/>
    </xf>
    <xf numFmtId="0" fontId="0" fillId="0" borderId="315" xfId="0" applyBorder="1" applyAlignment="1">
      <alignment horizontal="center" vertical="center" wrapText="1"/>
    </xf>
    <xf numFmtId="0" fontId="0" fillId="0" borderId="86" xfId="0" applyBorder="1" applyAlignment="1">
      <alignment horizontal="center" vertical="center"/>
    </xf>
    <xf numFmtId="0" fontId="0" fillId="0" borderId="148" xfId="0" applyBorder="1" applyAlignment="1">
      <alignment horizontal="center" vertical="center"/>
    </xf>
    <xf numFmtId="0" fontId="0" fillId="0" borderId="301" xfId="0" applyBorder="1" applyAlignment="1">
      <alignment horizontal="center" vertical="center"/>
    </xf>
    <xf numFmtId="0" fontId="0" fillId="0" borderId="147" xfId="0" applyBorder="1" applyAlignment="1">
      <alignment horizontal="center" vertical="center"/>
    </xf>
    <xf numFmtId="0" fontId="0" fillId="0" borderId="62" xfId="0" applyBorder="1" applyAlignment="1">
      <alignment horizontal="center" vertical="center"/>
    </xf>
    <xf numFmtId="0" fontId="1" fillId="0" borderId="11" xfId="0" applyFont="1" applyBorder="1" applyAlignment="1">
      <alignment horizontal="center" vertical="center"/>
    </xf>
    <xf numFmtId="0" fontId="1" fillId="0" borderId="115" xfId="0" applyFont="1" applyBorder="1" applyAlignment="1">
      <alignment horizontal="center" vertical="center"/>
    </xf>
    <xf numFmtId="0" fontId="1" fillId="0" borderId="13" xfId="0" applyFont="1" applyBorder="1" applyAlignment="1">
      <alignment horizontal="center" vertical="center"/>
    </xf>
    <xf numFmtId="0" fontId="1"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07" xfId="0" applyFont="1" applyBorder="1" applyAlignment="1">
      <alignment horizontal="center" vertical="center"/>
    </xf>
    <xf numFmtId="0" fontId="1" fillId="0" borderId="209" xfId="0" applyFont="1" applyBorder="1" applyAlignment="1">
      <alignment horizontal="center" vertical="center"/>
    </xf>
    <xf numFmtId="0" fontId="1" fillId="0" borderId="192" xfId="0" applyFont="1" applyBorder="1" applyAlignment="1">
      <alignment horizontal="center" vertical="center"/>
    </xf>
    <xf numFmtId="0" fontId="1" fillId="0" borderId="214" xfId="0" applyFont="1" applyBorder="1" applyAlignment="1">
      <alignment horizontal="center" vertical="center"/>
    </xf>
    <xf numFmtId="0" fontId="1" fillId="0" borderId="210" xfId="0" applyFont="1" applyBorder="1" applyAlignment="1">
      <alignment horizontal="center" vertical="center"/>
    </xf>
    <xf numFmtId="0" fontId="1" fillId="0" borderId="34" xfId="0" applyFont="1" applyBorder="1" applyAlignment="1">
      <alignment horizontal="center" vertical="center"/>
    </xf>
    <xf numFmtId="0" fontId="1" fillId="0" borderId="147" xfId="0" applyFont="1" applyBorder="1" applyAlignment="1">
      <alignment horizontal="center" vertical="center"/>
    </xf>
    <xf numFmtId="0" fontId="0" fillId="0" borderId="43" xfId="0" applyFont="1" applyBorder="1" applyAlignment="1">
      <alignment horizontal="center" vertical="center"/>
    </xf>
    <xf numFmtId="0" fontId="0" fillId="0" borderId="52" xfId="0" applyFont="1" applyBorder="1" applyAlignment="1">
      <alignment horizontal="center" vertical="center"/>
    </xf>
    <xf numFmtId="0" fontId="0" fillId="0" borderId="62" xfId="0" applyFont="1" applyBorder="1" applyAlignment="1">
      <alignment horizontal="center" vertical="center"/>
    </xf>
    <xf numFmtId="0" fontId="1" fillId="0" borderId="230" xfId="0" applyFont="1" applyBorder="1" applyAlignment="1">
      <alignment horizontal="center" vertical="center"/>
    </xf>
    <xf numFmtId="0" fontId="7" fillId="0" borderId="132" xfId="0" applyFont="1" applyBorder="1" applyAlignment="1">
      <alignment horizontal="center"/>
    </xf>
    <xf numFmtId="0" fontId="7" fillId="0" borderId="133" xfId="0" applyFont="1" applyBorder="1" applyAlignment="1">
      <alignment horizontal="center"/>
    </xf>
    <xf numFmtId="0" fontId="7" fillId="0" borderId="134" xfId="0" applyFont="1" applyBorder="1" applyAlignment="1">
      <alignment horizontal="center"/>
    </xf>
    <xf numFmtId="0" fontId="1" fillId="0" borderId="223" xfId="0" applyFont="1" applyBorder="1" applyAlignment="1">
      <alignment horizontal="center" vertical="center"/>
    </xf>
    <xf numFmtId="0" fontId="1" fillId="0" borderId="224" xfId="0" applyFont="1" applyBorder="1" applyAlignment="1">
      <alignment horizontal="center" vertical="center"/>
    </xf>
    <xf numFmtId="0" fontId="0" fillId="0" borderId="26" xfId="0" applyFont="1" applyBorder="1" applyAlignment="1">
      <alignment horizontal="center" vertical="center"/>
    </xf>
    <xf numFmtId="0" fontId="0" fillId="0" borderId="2" xfId="0" applyFont="1" applyBorder="1" applyAlignment="1">
      <alignment horizontal="center" vertical="center"/>
    </xf>
    <xf numFmtId="0" fontId="0" fillId="0" borderId="27" xfId="0" applyFont="1" applyBorder="1" applyAlignment="1">
      <alignment horizontal="center" vertical="center"/>
    </xf>
    <xf numFmtId="0" fontId="0" fillId="0" borderId="79" xfId="0" applyBorder="1" applyAlignment="1">
      <alignment horizontal="center" vertical="center"/>
    </xf>
    <xf numFmtId="0" fontId="0" fillId="0" borderId="4" xfId="0" applyBorder="1" applyAlignment="1">
      <alignment horizontal="center" vertical="center"/>
    </xf>
    <xf numFmtId="0" fontId="0" fillId="0" borderId="99" xfId="0" applyBorder="1" applyAlignment="1">
      <alignment horizontal="center" vertical="center"/>
    </xf>
    <xf numFmtId="0" fontId="0" fillId="0" borderId="232" xfId="0"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0" fillId="6" borderId="9" xfId="0" applyFill="1" applyBorder="1" applyAlignment="1">
      <alignment horizontal="center" vertical="center" wrapText="1"/>
    </xf>
    <xf numFmtId="0" fontId="0" fillId="6" borderId="5" xfId="0" applyFill="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0" fillId="4" borderId="9" xfId="0" applyFill="1" applyBorder="1" applyAlignment="1">
      <alignment horizontal="center" vertical="center" wrapText="1"/>
    </xf>
    <xf numFmtId="0" fontId="0" fillId="4" borderId="5" xfId="0" applyFill="1" applyBorder="1" applyAlignment="1">
      <alignment horizontal="center" vertical="center" wrapText="1"/>
    </xf>
    <xf numFmtId="0" fontId="0" fillId="7" borderId="9" xfId="0" applyFill="1" applyBorder="1" applyAlignment="1">
      <alignment horizontal="center" vertical="center" wrapText="1"/>
    </xf>
    <xf numFmtId="0" fontId="0" fillId="7" borderId="5" xfId="0"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2" borderId="9" xfId="0" applyFill="1" applyBorder="1" applyAlignment="1">
      <alignment horizontal="center" vertical="center" wrapText="1"/>
    </xf>
    <xf numFmtId="0" fontId="0" fillId="2" borderId="5" xfId="0"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81714785651793"/>
          <c:y val="9.3582037744121882E-2"/>
          <c:w val="0.80943263342082261"/>
          <c:h val="0.75105358349927864"/>
        </c:manualLayout>
      </c:layout>
      <c:scatterChart>
        <c:scatterStyle val="lineMarker"/>
        <c:varyColors val="0"/>
        <c:ser>
          <c:idx val="4"/>
          <c:order val="0"/>
          <c:tx>
            <c:v>OCV_C1</c:v>
          </c:tx>
          <c:marker>
            <c:symbol val="none"/>
          </c:marker>
          <c:xVal>
            <c:numRef>
              <c:f>'Cell 1'!$B$66:$B$69</c:f>
              <c:numCache>
                <c:formatCode>General</c:formatCode>
                <c:ptCount val="4"/>
                <c:pt idx="0">
                  <c:v>0</c:v>
                </c:pt>
                <c:pt idx="1">
                  <c:v>24</c:v>
                </c:pt>
                <c:pt idx="2">
                  <c:v>96</c:v>
                </c:pt>
                <c:pt idx="3">
                  <c:v>120</c:v>
                </c:pt>
              </c:numCache>
            </c:numRef>
          </c:xVal>
          <c:yVal>
            <c:numRef>
              <c:f>'Cell 1'!$E$66:$E$69</c:f>
              <c:numCache>
                <c:formatCode>General</c:formatCode>
                <c:ptCount val="4"/>
                <c:pt idx="0">
                  <c:v>1056</c:v>
                </c:pt>
                <c:pt idx="1">
                  <c:v>874</c:v>
                </c:pt>
                <c:pt idx="2">
                  <c:v>744</c:v>
                </c:pt>
                <c:pt idx="3">
                  <c:v>584</c:v>
                </c:pt>
              </c:numCache>
            </c:numRef>
          </c:yVal>
          <c:smooth val="0"/>
          <c:extLst>
            <c:ext xmlns:c16="http://schemas.microsoft.com/office/drawing/2014/chart" uri="{C3380CC4-5D6E-409C-BE32-E72D297353CC}">
              <c16:uniqueId val="{0000000A-81A9-4804-9624-1C388ED86E36}"/>
            </c:ext>
          </c:extLst>
        </c:ser>
        <c:ser>
          <c:idx val="5"/>
          <c:order val="1"/>
          <c:tx>
            <c:v>OCV_C2</c:v>
          </c:tx>
          <c:marker>
            <c:symbol val="none"/>
          </c:marker>
          <c:xVal>
            <c:numRef>
              <c:f>'Cell 2'!$B$62:$B$65</c:f>
              <c:numCache>
                <c:formatCode>General</c:formatCode>
                <c:ptCount val="4"/>
                <c:pt idx="0">
                  <c:v>0</c:v>
                </c:pt>
                <c:pt idx="1">
                  <c:v>24</c:v>
                </c:pt>
                <c:pt idx="2">
                  <c:v>96</c:v>
                </c:pt>
                <c:pt idx="3">
                  <c:v>120</c:v>
                </c:pt>
              </c:numCache>
            </c:numRef>
          </c:xVal>
          <c:yVal>
            <c:numRef>
              <c:f>'Cell 2'!$E$62:$E$65</c:f>
              <c:numCache>
                <c:formatCode>General</c:formatCode>
                <c:ptCount val="4"/>
                <c:pt idx="0">
                  <c:v>1108</c:v>
                </c:pt>
                <c:pt idx="1">
                  <c:v>914</c:v>
                </c:pt>
                <c:pt idx="2">
                  <c:v>844</c:v>
                </c:pt>
                <c:pt idx="3">
                  <c:v>768</c:v>
                </c:pt>
              </c:numCache>
            </c:numRef>
          </c:yVal>
          <c:smooth val="0"/>
          <c:extLst>
            <c:ext xmlns:c16="http://schemas.microsoft.com/office/drawing/2014/chart" uri="{C3380CC4-5D6E-409C-BE32-E72D297353CC}">
              <c16:uniqueId val="{0000000B-81A9-4804-9624-1C388ED86E36}"/>
            </c:ext>
          </c:extLst>
        </c:ser>
        <c:ser>
          <c:idx val="0"/>
          <c:order val="2"/>
          <c:tx>
            <c:v>MFC_C1</c:v>
          </c:tx>
          <c:spPr>
            <a:ln w="19050" cap="rnd">
              <a:solidFill>
                <a:schemeClr val="accent1"/>
              </a:solidFill>
              <a:round/>
            </a:ln>
            <a:effectLst/>
          </c:spPr>
          <c:marker>
            <c:symbol val="none"/>
          </c:marker>
          <c:xVal>
            <c:numRef>
              <c:f>'Cell 1'!$B$62:$B$65</c:f>
              <c:numCache>
                <c:formatCode>General</c:formatCode>
                <c:ptCount val="4"/>
                <c:pt idx="0">
                  <c:v>0</c:v>
                </c:pt>
                <c:pt idx="1">
                  <c:v>64.5</c:v>
                </c:pt>
                <c:pt idx="2">
                  <c:v>96</c:v>
                </c:pt>
                <c:pt idx="3">
                  <c:v>120</c:v>
                </c:pt>
              </c:numCache>
            </c:numRef>
          </c:xVal>
          <c:yVal>
            <c:numRef>
              <c:f>'Cell 1'!$E$62:$E$65</c:f>
              <c:numCache>
                <c:formatCode>General</c:formatCode>
                <c:ptCount val="4"/>
                <c:pt idx="0">
                  <c:v>1040</c:v>
                </c:pt>
                <c:pt idx="1">
                  <c:v>739</c:v>
                </c:pt>
                <c:pt idx="2">
                  <c:v>487</c:v>
                </c:pt>
                <c:pt idx="3">
                  <c:v>354</c:v>
                </c:pt>
              </c:numCache>
            </c:numRef>
          </c:yVal>
          <c:smooth val="0"/>
          <c:extLst>
            <c:ext xmlns:c16="http://schemas.microsoft.com/office/drawing/2014/chart" uri="{C3380CC4-5D6E-409C-BE32-E72D297353CC}">
              <c16:uniqueId val="{00000003-81A9-4804-9624-1C388ED86E36}"/>
            </c:ext>
          </c:extLst>
        </c:ser>
        <c:ser>
          <c:idx val="1"/>
          <c:order val="3"/>
          <c:tx>
            <c:v>MFC_C2</c:v>
          </c:tx>
          <c:spPr>
            <a:ln w="19050" cap="rnd">
              <a:solidFill>
                <a:schemeClr val="accent2"/>
              </a:solidFill>
              <a:round/>
            </a:ln>
            <a:effectLst/>
          </c:spPr>
          <c:marker>
            <c:symbol val="none"/>
          </c:marker>
          <c:xVal>
            <c:numRef>
              <c:f>'Cell 2'!$B$58:$B$61</c:f>
              <c:numCache>
                <c:formatCode>General</c:formatCode>
                <c:ptCount val="4"/>
                <c:pt idx="0">
                  <c:v>0</c:v>
                </c:pt>
                <c:pt idx="1">
                  <c:v>64.5</c:v>
                </c:pt>
                <c:pt idx="2">
                  <c:v>96</c:v>
                </c:pt>
                <c:pt idx="3">
                  <c:v>120</c:v>
                </c:pt>
              </c:numCache>
            </c:numRef>
          </c:xVal>
          <c:yVal>
            <c:numRef>
              <c:f>'Cell 2'!$E$58:$E$61</c:f>
              <c:numCache>
                <c:formatCode>General</c:formatCode>
                <c:ptCount val="4"/>
                <c:pt idx="0">
                  <c:v>1150</c:v>
                </c:pt>
                <c:pt idx="1">
                  <c:v>522</c:v>
                </c:pt>
                <c:pt idx="2">
                  <c:v>434</c:v>
                </c:pt>
                <c:pt idx="3">
                  <c:v>344</c:v>
                </c:pt>
              </c:numCache>
            </c:numRef>
          </c:yVal>
          <c:smooth val="0"/>
          <c:extLst>
            <c:ext xmlns:c16="http://schemas.microsoft.com/office/drawing/2014/chart" uri="{C3380CC4-5D6E-409C-BE32-E72D297353CC}">
              <c16:uniqueId val="{00000005-81A9-4804-9624-1C388ED86E36}"/>
            </c:ext>
          </c:extLst>
        </c:ser>
        <c:ser>
          <c:idx val="2"/>
          <c:order val="4"/>
          <c:tx>
            <c:v>MEC_C1</c:v>
          </c:tx>
          <c:spPr>
            <a:ln w="19050" cap="rnd">
              <a:solidFill>
                <a:schemeClr val="accent3"/>
              </a:solidFill>
              <a:round/>
            </a:ln>
            <a:effectLst/>
          </c:spPr>
          <c:marker>
            <c:symbol val="none"/>
          </c:marker>
          <c:xVal>
            <c:numRef>
              <c:f>('Cell 1'!$B$40:$B$42,'Cell 1'!$B$44)</c:f>
              <c:numCache>
                <c:formatCode>General</c:formatCode>
                <c:ptCount val="4"/>
                <c:pt idx="0">
                  <c:v>0</c:v>
                </c:pt>
                <c:pt idx="1">
                  <c:v>23.5</c:v>
                </c:pt>
                <c:pt idx="2">
                  <c:v>96</c:v>
                </c:pt>
                <c:pt idx="3">
                  <c:v>120</c:v>
                </c:pt>
              </c:numCache>
            </c:numRef>
          </c:xVal>
          <c:yVal>
            <c:numRef>
              <c:f>('Cell 1'!$E$40:$E$42,'Cell 1'!$E$44)</c:f>
              <c:numCache>
                <c:formatCode>General</c:formatCode>
                <c:ptCount val="4"/>
                <c:pt idx="0">
                  <c:v>1070</c:v>
                </c:pt>
                <c:pt idx="1">
                  <c:v>698</c:v>
                </c:pt>
                <c:pt idx="2">
                  <c:v>291</c:v>
                </c:pt>
                <c:pt idx="3">
                  <c:v>203</c:v>
                </c:pt>
              </c:numCache>
            </c:numRef>
          </c:yVal>
          <c:smooth val="0"/>
          <c:extLst>
            <c:ext xmlns:c16="http://schemas.microsoft.com/office/drawing/2014/chart" uri="{C3380CC4-5D6E-409C-BE32-E72D297353CC}">
              <c16:uniqueId val="{00000007-81A9-4804-9624-1C388ED86E36}"/>
            </c:ext>
          </c:extLst>
        </c:ser>
        <c:ser>
          <c:idx val="3"/>
          <c:order val="5"/>
          <c:tx>
            <c:v>MEC_C2</c:v>
          </c:tx>
          <c:spPr>
            <a:ln w="19050" cap="rnd">
              <a:solidFill>
                <a:schemeClr val="accent4"/>
              </a:solidFill>
              <a:round/>
            </a:ln>
            <a:effectLst/>
          </c:spPr>
          <c:marker>
            <c:symbol val="none"/>
          </c:marker>
          <c:xVal>
            <c:numRef>
              <c:f>('Cell 2'!$B$41:$B$42,'Cell 2'!$B$44:$B$45)</c:f>
              <c:numCache>
                <c:formatCode>General</c:formatCode>
                <c:ptCount val="4"/>
                <c:pt idx="0">
                  <c:v>0</c:v>
                </c:pt>
                <c:pt idx="1">
                  <c:v>25.5</c:v>
                </c:pt>
                <c:pt idx="2">
                  <c:v>92</c:v>
                </c:pt>
                <c:pt idx="3">
                  <c:v>120</c:v>
                </c:pt>
              </c:numCache>
            </c:numRef>
          </c:xVal>
          <c:yVal>
            <c:numRef>
              <c:f>('Cell 2'!$E$41:$E$42,'Cell 2'!$E$44:$E$45)</c:f>
              <c:numCache>
                <c:formatCode>General</c:formatCode>
                <c:ptCount val="4"/>
                <c:pt idx="0">
                  <c:v>1140</c:v>
                </c:pt>
                <c:pt idx="1">
                  <c:v>689</c:v>
                </c:pt>
                <c:pt idx="2">
                  <c:v>236</c:v>
                </c:pt>
                <c:pt idx="3">
                  <c:v>175</c:v>
                </c:pt>
              </c:numCache>
            </c:numRef>
          </c:yVal>
          <c:smooth val="0"/>
          <c:extLst>
            <c:ext xmlns:c16="http://schemas.microsoft.com/office/drawing/2014/chart" uri="{C3380CC4-5D6E-409C-BE32-E72D297353CC}">
              <c16:uniqueId val="{00000009-81A9-4804-9624-1C388ED86E36}"/>
            </c:ext>
          </c:extLst>
        </c:ser>
        <c:dLbls>
          <c:showLegendKey val="0"/>
          <c:showVal val="0"/>
          <c:showCatName val="0"/>
          <c:showSerName val="0"/>
          <c:showPercent val="0"/>
          <c:showBubbleSize val="0"/>
        </c:dLbls>
        <c:axId val="260177584"/>
        <c:axId val="260176800"/>
      </c:scatterChart>
      <c:valAx>
        <c:axId val="260177584"/>
        <c:scaling>
          <c:orientation val="minMax"/>
          <c:max val="120"/>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s-ES" b="1"/>
                  <a:t>t (h)</a:t>
                </a:r>
              </a:p>
            </c:rich>
          </c:tx>
          <c:layout>
            <c:manualLayout>
              <c:xMode val="edge"/>
              <c:yMode val="edge"/>
              <c:x val="0.4767346894138233"/>
              <c:y val="0.91988879438850879"/>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60176800"/>
        <c:crosses val="autoZero"/>
        <c:crossBetween val="midCat"/>
      </c:valAx>
      <c:valAx>
        <c:axId val="26017680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s-ES" sz="1000" b="1" i="0" u="none" strike="noStrike" baseline="0">
                    <a:effectLst/>
                  </a:rPr>
                  <a:t>Anolyte </a:t>
                </a:r>
                <a:r>
                  <a:rPr lang="es-ES" b="1"/>
                  <a:t>[N-NH</a:t>
                </a:r>
                <a:r>
                  <a:rPr lang="es-ES" b="1" baseline="-25000"/>
                  <a:t>4</a:t>
                </a:r>
                <a:r>
                  <a:rPr lang="es-ES" b="1" baseline="0"/>
                  <a:t>] (mg-N/L)</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60177584"/>
        <c:crosses val="autoZero"/>
        <c:crossBetween val="midCat"/>
      </c:valAx>
    </c:plotArea>
    <c:legend>
      <c:legendPos val="r"/>
      <c:layout>
        <c:manualLayout>
          <c:xMode val="edge"/>
          <c:yMode val="edge"/>
          <c:x val="0.79023971275939775"/>
          <c:y val="7.0442946012963872E-2"/>
          <c:w val="0.16869466316710421"/>
          <c:h val="0.313591045021811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txPr>
    <a:bodyPr/>
    <a:lstStyle/>
    <a:p>
      <a:pPr>
        <a:defRPr/>
      </a:pPr>
      <a:endParaRPr lang="es-ES"/>
    </a:p>
  </c:txPr>
  <c:printSettings>
    <c:headerFooter/>
    <c:pageMargins b="0.75000000000000222" l="0.70000000000000062" r="0.70000000000000062" t="0.75000000000000222"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92825896762958"/>
          <c:y val="8.0266115476858066E-2"/>
          <c:w val="0.81787270341207363"/>
          <c:h val="0.56398306690579769"/>
        </c:manualLayout>
      </c:layout>
      <c:scatterChart>
        <c:scatterStyle val="lineMarker"/>
        <c:varyColors val="0"/>
        <c:ser>
          <c:idx val="0"/>
          <c:order val="0"/>
          <c:tx>
            <c:v>Cell 1</c:v>
          </c:tx>
          <c:spPr>
            <a:ln w="25400" cap="rnd">
              <a:noFill/>
              <a:round/>
            </a:ln>
            <a:effectLst/>
          </c:spPr>
          <c:marker>
            <c:symbol val="circle"/>
            <c:size val="5"/>
            <c:spPr>
              <a:solidFill>
                <a:schemeClr val="accent1"/>
              </a:solidFill>
              <a:ln w="9525">
                <a:solidFill>
                  <a:schemeClr val="accent1"/>
                </a:solidFill>
              </a:ln>
              <a:effectLst/>
            </c:spPr>
          </c:marker>
          <c:xVal>
            <c:numRef>
              <c:f>'Graphics &amp; figures'!$H$24:$H$37</c:f>
              <c:numCache>
                <c:formatCode>General</c:formatCode>
                <c:ptCount val="14"/>
                <c:pt idx="0">
                  <c:v>1</c:v>
                </c:pt>
                <c:pt idx="1">
                  <c:v>1</c:v>
                </c:pt>
                <c:pt idx="2">
                  <c:v>1</c:v>
                </c:pt>
                <c:pt idx="3">
                  <c:v>1</c:v>
                </c:pt>
                <c:pt idx="4">
                  <c:v>1</c:v>
                </c:pt>
                <c:pt idx="5">
                  <c:v>1</c:v>
                </c:pt>
                <c:pt idx="6">
                  <c:v>1</c:v>
                </c:pt>
                <c:pt idx="7">
                  <c:v>1</c:v>
                </c:pt>
                <c:pt idx="8">
                  <c:v>1</c:v>
                </c:pt>
                <c:pt idx="9">
                  <c:v>2</c:v>
                </c:pt>
                <c:pt idx="10">
                  <c:v>2</c:v>
                </c:pt>
                <c:pt idx="11">
                  <c:v>3</c:v>
                </c:pt>
                <c:pt idx="12">
                  <c:v>3</c:v>
                </c:pt>
                <c:pt idx="13">
                  <c:v>4</c:v>
                </c:pt>
              </c:numCache>
            </c:numRef>
          </c:xVal>
          <c:yVal>
            <c:numRef>
              <c:f>'Graphics &amp; figures'!$I$24:$I$37</c:f>
              <c:numCache>
                <c:formatCode>General</c:formatCode>
                <c:ptCount val="14"/>
                <c:pt idx="0">
                  <c:v>0.27200000000000002</c:v>
                </c:pt>
                <c:pt idx="1">
                  <c:v>0.245</c:v>
                </c:pt>
                <c:pt idx="2">
                  <c:v>0.247</c:v>
                </c:pt>
                <c:pt idx="3">
                  <c:v>0.26200000000000001</c:v>
                </c:pt>
                <c:pt idx="4">
                  <c:v>0.23300000000000001</c:v>
                </c:pt>
                <c:pt idx="6">
                  <c:v>0.251</c:v>
                </c:pt>
                <c:pt idx="7">
                  <c:v>0.20100000000000001</c:v>
                </c:pt>
                <c:pt idx="8">
                  <c:v>0.20599999999999999</c:v>
                </c:pt>
                <c:pt idx="9">
                  <c:v>0.18899999999999997</c:v>
                </c:pt>
                <c:pt idx="10">
                  <c:v>0.20100000000000001</c:v>
                </c:pt>
                <c:pt idx="12" formatCode="0.0">
                  <c:v>0.17</c:v>
                </c:pt>
                <c:pt idx="13">
                  <c:v>0</c:v>
                </c:pt>
              </c:numCache>
            </c:numRef>
          </c:yVal>
          <c:smooth val="0"/>
          <c:extLst>
            <c:ext xmlns:c16="http://schemas.microsoft.com/office/drawing/2014/chart" uri="{C3380CC4-5D6E-409C-BE32-E72D297353CC}">
              <c16:uniqueId val="{00000001-8803-4430-B7BC-9740BC01B82F}"/>
            </c:ext>
          </c:extLst>
        </c:ser>
        <c:ser>
          <c:idx val="1"/>
          <c:order val="1"/>
          <c:tx>
            <c:v>Cell 2</c:v>
          </c:tx>
          <c:spPr>
            <a:ln w="25400" cap="rnd">
              <a:noFill/>
              <a:round/>
            </a:ln>
            <a:effectLst/>
          </c:spPr>
          <c:marker>
            <c:symbol val="triangle"/>
            <c:size val="5"/>
            <c:spPr>
              <a:solidFill>
                <a:schemeClr val="accent2"/>
              </a:solidFill>
              <a:ln w="9525">
                <a:solidFill>
                  <a:schemeClr val="accent2"/>
                </a:solidFill>
              </a:ln>
              <a:effectLst/>
            </c:spPr>
          </c:marker>
          <c:xVal>
            <c:numRef>
              <c:f>'Graphics &amp; figures'!$H$24:$H$37</c:f>
              <c:numCache>
                <c:formatCode>General</c:formatCode>
                <c:ptCount val="14"/>
                <c:pt idx="0">
                  <c:v>1</c:v>
                </c:pt>
                <c:pt idx="1">
                  <c:v>1</c:v>
                </c:pt>
                <c:pt idx="2">
                  <c:v>1</c:v>
                </c:pt>
                <c:pt idx="3">
                  <c:v>1</c:v>
                </c:pt>
                <c:pt idx="4">
                  <c:v>1</c:v>
                </c:pt>
                <c:pt idx="5">
                  <c:v>1</c:v>
                </c:pt>
                <c:pt idx="6">
                  <c:v>1</c:v>
                </c:pt>
                <c:pt idx="7">
                  <c:v>1</c:v>
                </c:pt>
                <c:pt idx="8">
                  <c:v>1</c:v>
                </c:pt>
                <c:pt idx="9">
                  <c:v>2</c:v>
                </c:pt>
                <c:pt idx="10">
                  <c:v>2</c:v>
                </c:pt>
                <c:pt idx="11">
                  <c:v>3</c:v>
                </c:pt>
                <c:pt idx="12">
                  <c:v>3</c:v>
                </c:pt>
                <c:pt idx="13">
                  <c:v>4</c:v>
                </c:pt>
              </c:numCache>
            </c:numRef>
          </c:xVal>
          <c:yVal>
            <c:numRef>
              <c:f>'Graphics &amp; figures'!$J$24:$J$37</c:f>
              <c:numCache>
                <c:formatCode>General</c:formatCode>
                <c:ptCount val="14"/>
                <c:pt idx="0">
                  <c:v>0.161</c:v>
                </c:pt>
                <c:pt idx="1">
                  <c:v>0.27800000000000002</c:v>
                </c:pt>
                <c:pt idx="2">
                  <c:v>0.21100000000000002</c:v>
                </c:pt>
                <c:pt idx="3">
                  <c:v>0.252</c:v>
                </c:pt>
                <c:pt idx="4">
                  <c:v>0.222</c:v>
                </c:pt>
                <c:pt idx="9">
                  <c:v>0.18100000000000002</c:v>
                </c:pt>
                <c:pt idx="10" formatCode="0.000">
                  <c:v>0.18</c:v>
                </c:pt>
                <c:pt idx="11">
                  <c:v>0.122</c:v>
                </c:pt>
                <c:pt idx="12">
                  <c:v>0.14699999999999999</c:v>
                </c:pt>
                <c:pt idx="13">
                  <c:v>0</c:v>
                </c:pt>
              </c:numCache>
            </c:numRef>
          </c:yVal>
          <c:smooth val="0"/>
          <c:extLst>
            <c:ext xmlns:c16="http://schemas.microsoft.com/office/drawing/2014/chart" uri="{C3380CC4-5D6E-409C-BE32-E72D297353CC}">
              <c16:uniqueId val="{00000000-8803-4430-B7BC-9740BC01B82F}"/>
            </c:ext>
          </c:extLst>
        </c:ser>
        <c:dLbls>
          <c:showLegendKey val="0"/>
          <c:showVal val="0"/>
          <c:showCatName val="0"/>
          <c:showSerName val="0"/>
          <c:showPercent val="0"/>
          <c:showBubbleSize val="0"/>
        </c:dLbls>
        <c:axId val="260178368"/>
        <c:axId val="260176408"/>
      </c:scatterChart>
      <c:valAx>
        <c:axId val="260178368"/>
        <c:scaling>
          <c:orientation val="minMax"/>
        </c:scaling>
        <c:delete val="0"/>
        <c:axPos val="b"/>
        <c:numFmt formatCode="@"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s-ES"/>
          </a:p>
        </c:txPr>
        <c:crossAx val="260176408"/>
        <c:crosses val="autoZero"/>
        <c:crossBetween val="midCat"/>
        <c:majorUnit val="1"/>
        <c:minorUnit val="1"/>
      </c:valAx>
      <c:valAx>
        <c:axId val="260176408"/>
        <c:scaling>
          <c:orientation val="minMax"/>
          <c:min val="0"/>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ES" sz="1100" b="1"/>
                  <a:t>Current</a:t>
                </a:r>
                <a:r>
                  <a:rPr lang="es-ES" sz="1100" b="1" baseline="0"/>
                  <a:t> (mA/cm</a:t>
                </a:r>
                <a:r>
                  <a:rPr lang="es-ES" sz="1100" b="1" baseline="30000"/>
                  <a:t>2</a:t>
                </a:r>
                <a:r>
                  <a:rPr lang="es-ES" sz="1100" b="1" baseline="0"/>
                  <a:t>)</a:t>
                </a:r>
                <a:endParaRPr lang="es-ES" sz="1100" b="1"/>
              </a:p>
            </c:rich>
          </c:tx>
          <c:layout>
            <c:manualLayout>
              <c:xMode val="edge"/>
              <c:yMode val="edge"/>
              <c:x val="0"/>
              <c:y val="0.1447619769479667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60178368"/>
        <c:crosses val="autoZero"/>
        <c:crossBetween val="midCat"/>
      </c:valAx>
      <c:spPr>
        <a:noFill/>
        <a:ln>
          <a:noFill/>
        </a:ln>
        <a:effectLst/>
      </c:spPr>
    </c:plotArea>
    <c:legend>
      <c:legendPos val="r"/>
      <c:layout>
        <c:manualLayout>
          <c:xMode val="edge"/>
          <c:yMode val="edge"/>
          <c:x val="0.82746762904636773"/>
          <c:y val="5.3392030356385164E-2"/>
          <c:w val="0.1340181539807524"/>
          <c:h val="0.1718819724844492"/>
        </c:manualLayout>
      </c:layout>
      <c:overlay val="0"/>
      <c:spPr>
        <a:noFill/>
        <a:ln>
          <a:solidFill>
            <a:sysClr val="windowText" lastClr="000000"/>
          </a:solid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000000000000222" l="0.70000000000000062" r="0.70000000000000062" t="0.7500000000000022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Cell 2</a:t>
            </a:r>
          </a:p>
        </c:rich>
      </c:tx>
      <c:overlay val="0"/>
    </c:title>
    <c:autoTitleDeleted val="0"/>
    <c:plotArea>
      <c:layout>
        <c:manualLayout>
          <c:layoutTarget val="inner"/>
          <c:xMode val="edge"/>
          <c:yMode val="edge"/>
          <c:x val="0.12581714785651793"/>
          <c:y val="9.3582037744121882E-2"/>
          <c:w val="0.80943263342082261"/>
          <c:h val="0.75105358349927864"/>
        </c:manualLayout>
      </c:layout>
      <c:scatterChart>
        <c:scatterStyle val="lineMarker"/>
        <c:varyColors val="0"/>
        <c:ser>
          <c:idx val="5"/>
          <c:order val="0"/>
          <c:tx>
            <c:v>OCV</c:v>
          </c:tx>
          <c:spPr>
            <a:ln>
              <a:noFill/>
            </a:ln>
          </c:spPr>
          <c:marker>
            <c:symbol val="square"/>
            <c:size val="5"/>
            <c:spPr>
              <a:solidFill>
                <a:schemeClr val="tx1"/>
              </a:solidFill>
              <a:ln>
                <a:solidFill>
                  <a:schemeClr val="tx1"/>
                </a:solidFill>
              </a:ln>
            </c:spPr>
          </c:marker>
          <c:trendline>
            <c:trendlineType val="exp"/>
            <c:intercept val="1108"/>
            <c:dispRSqr val="0"/>
            <c:dispEq val="0"/>
          </c:trendline>
          <c:xVal>
            <c:numRef>
              <c:f>'Cell 2'!$B$62:$B$65</c:f>
              <c:numCache>
                <c:formatCode>General</c:formatCode>
                <c:ptCount val="4"/>
                <c:pt idx="0">
                  <c:v>0</c:v>
                </c:pt>
                <c:pt idx="1">
                  <c:v>24</c:v>
                </c:pt>
                <c:pt idx="2">
                  <c:v>96</c:v>
                </c:pt>
                <c:pt idx="3">
                  <c:v>120</c:v>
                </c:pt>
              </c:numCache>
            </c:numRef>
          </c:xVal>
          <c:yVal>
            <c:numRef>
              <c:f>'Cell 2'!$E$62:$E$65</c:f>
              <c:numCache>
                <c:formatCode>General</c:formatCode>
                <c:ptCount val="4"/>
                <c:pt idx="0">
                  <c:v>1108</c:v>
                </c:pt>
                <c:pt idx="1">
                  <c:v>914</c:v>
                </c:pt>
                <c:pt idx="2">
                  <c:v>844</c:v>
                </c:pt>
                <c:pt idx="3">
                  <c:v>768</c:v>
                </c:pt>
              </c:numCache>
            </c:numRef>
          </c:yVal>
          <c:smooth val="0"/>
          <c:extLst>
            <c:ext xmlns:c16="http://schemas.microsoft.com/office/drawing/2014/chart" uri="{C3380CC4-5D6E-409C-BE32-E72D297353CC}">
              <c16:uniqueId val="{00000001-7E0D-44DB-BDB9-5345658A97F6}"/>
            </c:ext>
          </c:extLst>
        </c:ser>
        <c:ser>
          <c:idx val="1"/>
          <c:order val="1"/>
          <c:tx>
            <c:v>MFC</c:v>
          </c:tx>
          <c:spPr>
            <a:ln w="19050" cap="rnd">
              <a:noFill/>
              <a:round/>
            </a:ln>
            <a:effectLst/>
          </c:spPr>
          <c:marker>
            <c:symbol val="square"/>
            <c:size val="5"/>
            <c:spPr>
              <a:solidFill>
                <a:srgbClr val="00B050"/>
              </a:solidFill>
              <a:ln>
                <a:solidFill>
                  <a:srgbClr val="00B050"/>
                </a:solidFill>
              </a:ln>
            </c:spPr>
          </c:marker>
          <c:trendline>
            <c:spPr>
              <a:ln>
                <a:solidFill>
                  <a:srgbClr val="00B050"/>
                </a:solidFill>
              </a:ln>
            </c:spPr>
            <c:trendlineType val="exp"/>
            <c:dispRSqr val="0"/>
            <c:dispEq val="0"/>
          </c:trendline>
          <c:xVal>
            <c:numRef>
              <c:f>'Cell 2'!$B$58:$B$61</c:f>
              <c:numCache>
                <c:formatCode>General</c:formatCode>
                <c:ptCount val="4"/>
                <c:pt idx="0">
                  <c:v>0</c:v>
                </c:pt>
                <c:pt idx="1">
                  <c:v>64.5</c:v>
                </c:pt>
                <c:pt idx="2">
                  <c:v>96</c:v>
                </c:pt>
                <c:pt idx="3">
                  <c:v>120</c:v>
                </c:pt>
              </c:numCache>
            </c:numRef>
          </c:xVal>
          <c:yVal>
            <c:numRef>
              <c:f>'Cell 2'!$E$58:$E$61</c:f>
              <c:numCache>
                <c:formatCode>General</c:formatCode>
                <c:ptCount val="4"/>
                <c:pt idx="0">
                  <c:v>1150</c:v>
                </c:pt>
                <c:pt idx="1">
                  <c:v>522</c:v>
                </c:pt>
                <c:pt idx="2">
                  <c:v>434</c:v>
                </c:pt>
                <c:pt idx="3">
                  <c:v>344</c:v>
                </c:pt>
              </c:numCache>
            </c:numRef>
          </c:yVal>
          <c:smooth val="0"/>
          <c:extLst>
            <c:ext xmlns:c16="http://schemas.microsoft.com/office/drawing/2014/chart" uri="{C3380CC4-5D6E-409C-BE32-E72D297353CC}">
              <c16:uniqueId val="{00000003-7E0D-44DB-BDB9-5345658A97F6}"/>
            </c:ext>
          </c:extLst>
        </c:ser>
        <c:ser>
          <c:idx val="3"/>
          <c:order val="2"/>
          <c:tx>
            <c:v>MEC</c:v>
          </c:tx>
          <c:spPr>
            <a:ln w="19050" cap="rnd">
              <a:noFill/>
              <a:round/>
            </a:ln>
            <a:effectLst/>
          </c:spPr>
          <c:marker>
            <c:symbol val="square"/>
            <c:size val="5"/>
            <c:spPr>
              <a:solidFill>
                <a:srgbClr val="C00000"/>
              </a:solidFill>
              <a:ln>
                <a:solidFill>
                  <a:srgbClr val="C00000"/>
                </a:solidFill>
              </a:ln>
            </c:spPr>
          </c:marker>
          <c:trendline>
            <c:spPr>
              <a:ln>
                <a:solidFill>
                  <a:srgbClr val="C00000"/>
                </a:solidFill>
              </a:ln>
            </c:spPr>
            <c:trendlineType val="exp"/>
            <c:dispRSqr val="0"/>
            <c:dispEq val="0"/>
          </c:trendline>
          <c:xVal>
            <c:numRef>
              <c:f>('Cell 2'!$B$41:$B$42,'Cell 2'!$B$44:$B$45)</c:f>
              <c:numCache>
                <c:formatCode>General</c:formatCode>
                <c:ptCount val="4"/>
                <c:pt idx="0">
                  <c:v>0</c:v>
                </c:pt>
                <c:pt idx="1">
                  <c:v>25.5</c:v>
                </c:pt>
                <c:pt idx="2">
                  <c:v>92</c:v>
                </c:pt>
                <c:pt idx="3">
                  <c:v>120</c:v>
                </c:pt>
              </c:numCache>
            </c:numRef>
          </c:xVal>
          <c:yVal>
            <c:numRef>
              <c:f>('Cell 2'!$E$41:$E$42,'Cell 2'!$E$44:$E$45)</c:f>
              <c:numCache>
                <c:formatCode>General</c:formatCode>
                <c:ptCount val="4"/>
                <c:pt idx="0">
                  <c:v>1140</c:v>
                </c:pt>
                <c:pt idx="1">
                  <c:v>689</c:v>
                </c:pt>
                <c:pt idx="2">
                  <c:v>236</c:v>
                </c:pt>
                <c:pt idx="3">
                  <c:v>175</c:v>
                </c:pt>
              </c:numCache>
            </c:numRef>
          </c:yVal>
          <c:smooth val="0"/>
          <c:extLst>
            <c:ext xmlns:c16="http://schemas.microsoft.com/office/drawing/2014/chart" uri="{C3380CC4-5D6E-409C-BE32-E72D297353CC}">
              <c16:uniqueId val="{00000005-7E0D-44DB-BDB9-5345658A97F6}"/>
            </c:ext>
          </c:extLst>
        </c:ser>
        <c:dLbls>
          <c:showLegendKey val="0"/>
          <c:showVal val="0"/>
          <c:showCatName val="0"/>
          <c:showSerName val="0"/>
          <c:showPercent val="0"/>
          <c:showBubbleSize val="0"/>
        </c:dLbls>
        <c:axId val="260179152"/>
        <c:axId val="260177192"/>
      </c:scatterChart>
      <c:valAx>
        <c:axId val="260179152"/>
        <c:scaling>
          <c:orientation val="minMax"/>
          <c:max val="120"/>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s-ES" b="1"/>
                  <a:t>t (h)</a:t>
                </a:r>
              </a:p>
            </c:rich>
          </c:tx>
          <c:layout>
            <c:manualLayout>
              <c:xMode val="edge"/>
              <c:yMode val="edge"/>
              <c:x val="0.4767346894138233"/>
              <c:y val="0.91988879438850879"/>
            </c:manualLayout>
          </c:layout>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60177192"/>
        <c:crosses val="autoZero"/>
        <c:crossBetween val="midCat"/>
      </c:valAx>
      <c:valAx>
        <c:axId val="26017719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s-ES" sz="1000" b="1" i="0" u="none" strike="noStrike" baseline="0">
                    <a:effectLst/>
                  </a:rPr>
                  <a:t>Anolyte </a:t>
                </a:r>
                <a:r>
                  <a:rPr lang="es-ES" b="1"/>
                  <a:t>[N-NH</a:t>
                </a:r>
                <a:r>
                  <a:rPr lang="es-ES" b="1" baseline="-25000"/>
                  <a:t>4</a:t>
                </a:r>
                <a:r>
                  <a:rPr lang="es-ES" b="1" baseline="30000"/>
                  <a:t>+</a:t>
                </a:r>
                <a:r>
                  <a:rPr lang="es-ES" b="1" baseline="0"/>
                  <a:t>] </a:t>
                </a:r>
                <a:r>
                  <a:rPr lang="es-ES" sz="1000" b="1" i="0" u="none" strike="noStrike" baseline="0">
                    <a:effectLst/>
                  </a:rPr>
                  <a:t> (mg-N/L)</a:t>
                </a:r>
                <a:endParaRPr lang="es-ES" b="1" baseline="0"/>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60179152"/>
        <c:crosses val="autoZero"/>
        <c:crossBetween val="midCat"/>
      </c:valAx>
    </c:plotArea>
    <c:legend>
      <c:legendPos val="r"/>
      <c:legendEntry>
        <c:idx val="3"/>
        <c:delete val="1"/>
      </c:legendEntry>
      <c:legendEntry>
        <c:idx val="4"/>
        <c:delete val="1"/>
      </c:legendEntry>
      <c:legendEntry>
        <c:idx val="5"/>
        <c:delete val="1"/>
      </c:legendEntry>
      <c:layout>
        <c:manualLayout>
          <c:xMode val="edge"/>
          <c:yMode val="edge"/>
          <c:x val="0.82356700558061258"/>
          <c:y val="2.201911640868489E-2"/>
          <c:w val="0.15205106643223013"/>
          <c:h val="0.27389976473448024"/>
        </c:manualLayout>
      </c:layou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txPr>
    <a:bodyPr/>
    <a:lstStyle/>
    <a:p>
      <a:pPr>
        <a:defRPr/>
      </a:pPr>
      <a:endParaRPr lang="es-ES"/>
    </a:p>
  </c:txPr>
  <c:printSettings>
    <c:headerFooter/>
    <c:pageMargins b="0.75000000000000222" l="0.70000000000000062" r="0.70000000000000062" t="0.7500000000000022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Cell 1</a:t>
            </a:r>
          </a:p>
        </c:rich>
      </c:tx>
      <c:overlay val="0"/>
    </c:title>
    <c:autoTitleDeleted val="0"/>
    <c:plotArea>
      <c:layout>
        <c:manualLayout>
          <c:layoutTarget val="inner"/>
          <c:xMode val="edge"/>
          <c:yMode val="edge"/>
          <c:x val="0.12581714785651793"/>
          <c:y val="9.3582037744121882E-2"/>
          <c:w val="0.80943263342082261"/>
          <c:h val="0.75105358349927864"/>
        </c:manualLayout>
      </c:layout>
      <c:scatterChart>
        <c:scatterStyle val="lineMarker"/>
        <c:varyColors val="0"/>
        <c:ser>
          <c:idx val="4"/>
          <c:order val="0"/>
          <c:tx>
            <c:v>OCV</c:v>
          </c:tx>
          <c:spPr>
            <a:ln>
              <a:noFill/>
            </a:ln>
          </c:spPr>
          <c:marker>
            <c:symbol val="square"/>
            <c:size val="5"/>
            <c:spPr>
              <a:solidFill>
                <a:schemeClr val="tx1"/>
              </a:solidFill>
              <a:ln>
                <a:solidFill>
                  <a:schemeClr val="tx1"/>
                </a:solidFill>
              </a:ln>
            </c:spPr>
          </c:marker>
          <c:trendline>
            <c:trendlineType val="exp"/>
            <c:intercept val="1056"/>
            <c:dispRSqr val="0"/>
            <c:dispEq val="0"/>
          </c:trendline>
          <c:xVal>
            <c:numRef>
              <c:f>'Cell 1'!$B$66:$B$69</c:f>
              <c:numCache>
                <c:formatCode>General</c:formatCode>
                <c:ptCount val="4"/>
                <c:pt idx="0">
                  <c:v>0</c:v>
                </c:pt>
                <c:pt idx="1">
                  <c:v>24</c:v>
                </c:pt>
                <c:pt idx="2">
                  <c:v>96</c:v>
                </c:pt>
                <c:pt idx="3">
                  <c:v>120</c:v>
                </c:pt>
              </c:numCache>
            </c:numRef>
          </c:xVal>
          <c:yVal>
            <c:numRef>
              <c:f>'Cell 1'!$E$66:$E$69</c:f>
              <c:numCache>
                <c:formatCode>General</c:formatCode>
                <c:ptCount val="4"/>
                <c:pt idx="0">
                  <c:v>1056</c:v>
                </c:pt>
                <c:pt idx="1">
                  <c:v>874</c:v>
                </c:pt>
                <c:pt idx="2">
                  <c:v>744</c:v>
                </c:pt>
                <c:pt idx="3">
                  <c:v>584</c:v>
                </c:pt>
              </c:numCache>
            </c:numRef>
          </c:yVal>
          <c:smooth val="0"/>
          <c:extLst>
            <c:ext xmlns:c16="http://schemas.microsoft.com/office/drawing/2014/chart" uri="{C3380CC4-5D6E-409C-BE32-E72D297353CC}">
              <c16:uniqueId val="{00000000-C231-4833-B192-7A7F15D112EE}"/>
            </c:ext>
          </c:extLst>
        </c:ser>
        <c:ser>
          <c:idx val="0"/>
          <c:order val="1"/>
          <c:tx>
            <c:v>MFC</c:v>
          </c:tx>
          <c:spPr>
            <a:ln>
              <a:noFill/>
            </a:ln>
          </c:spPr>
          <c:marker>
            <c:symbol val="square"/>
            <c:size val="5"/>
            <c:spPr>
              <a:solidFill>
                <a:srgbClr val="00B050"/>
              </a:solidFill>
              <a:ln>
                <a:solidFill>
                  <a:srgbClr val="00B050"/>
                </a:solidFill>
              </a:ln>
            </c:spPr>
          </c:marker>
          <c:trendline>
            <c:trendlineType val="log"/>
            <c:dispRSqr val="0"/>
            <c:dispEq val="0"/>
          </c:trendline>
          <c:trendline>
            <c:spPr>
              <a:ln>
                <a:solidFill>
                  <a:srgbClr val="00B050"/>
                </a:solidFill>
              </a:ln>
            </c:spPr>
            <c:trendlineType val="exp"/>
            <c:intercept val="1040"/>
            <c:dispRSqr val="0"/>
            <c:dispEq val="0"/>
          </c:trendline>
          <c:xVal>
            <c:numRef>
              <c:f>'Cell 1'!$B$62:$B$65</c:f>
              <c:numCache>
                <c:formatCode>General</c:formatCode>
                <c:ptCount val="4"/>
                <c:pt idx="0">
                  <c:v>0</c:v>
                </c:pt>
                <c:pt idx="1">
                  <c:v>64.5</c:v>
                </c:pt>
                <c:pt idx="2">
                  <c:v>96</c:v>
                </c:pt>
                <c:pt idx="3">
                  <c:v>120</c:v>
                </c:pt>
              </c:numCache>
            </c:numRef>
          </c:xVal>
          <c:yVal>
            <c:numRef>
              <c:f>'Cell 1'!$E$62:$E$65</c:f>
              <c:numCache>
                <c:formatCode>General</c:formatCode>
                <c:ptCount val="4"/>
                <c:pt idx="0">
                  <c:v>1040</c:v>
                </c:pt>
                <c:pt idx="1">
                  <c:v>739</c:v>
                </c:pt>
                <c:pt idx="2">
                  <c:v>487</c:v>
                </c:pt>
                <c:pt idx="3">
                  <c:v>354</c:v>
                </c:pt>
              </c:numCache>
            </c:numRef>
          </c:yVal>
          <c:smooth val="0"/>
          <c:extLst>
            <c:ext xmlns:c16="http://schemas.microsoft.com/office/drawing/2014/chart" uri="{C3380CC4-5D6E-409C-BE32-E72D297353CC}">
              <c16:uniqueId val="{00000002-C231-4833-B192-7A7F15D112EE}"/>
            </c:ext>
          </c:extLst>
        </c:ser>
        <c:ser>
          <c:idx val="2"/>
          <c:order val="2"/>
          <c:tx>
            <c:v>MEC</c:v>
          </c:tx>
          <c:spPr>
            <a:ln>
              <a:noFill/>
            </a:ln>
          </c:spPr>
          <c:marker>
            <c:symbol val="square"/>
            <c:size val="5"/>
            <c:spPr>
              <a:solidFill>
                <a:srgbClr val="C00000"/>
              </a:solidFill>
              <a:ln>
                <a:solidFill>
                  <a:srgbClr val="C00000"/>
                </a:solidFill>
              </a:ln>
            </c:spPr>
          </c:marker>
          <c:trendline>
            <c:spPr>
              <a:ln>
                <a:solidFill>
                  <a:srgbClr val="C00000"/>
                </a:solidFill>
              </a:ln>
            </c:spPr>
            <c:trendlineType val="exp"/>
            <c:intercept val="1070"/>
            <c:dispRSqr val="0"/>
            <c:dispEq val="0"/>
          </c:trendline>
          <c:xVal>
            <c:numRef>
              <c:f>('Cell 1'!$B$40:$B$42,'Cell 1'!$B$44)</c:f>
              <c:numCache>
                <c:formatCode>General</c:formatCode>
                <c:ptCount val="4"/>
                <c:pt idx="0">
                  <c:v>0</c:v>
                </c:pt>
                <c:pt idx="1">
                  <c:v>23.5</c:v>
                </c:pt>
                <c:pt idx="2">
                  <c:v>96</c:v>
                </c:pt>
                <c:pt idx="3">
                  <c:v>120</c:v>
                </c:pt>
              </c:numCache>
            </c:numRef>
          </c:xVal>
          <c:yVal>
            <c:numRef>
              <c:f>('Cell 1'!$E$40:$E$42,'Cell 1'!$E$44)</c:f>
              <c:numCache>
                <c:formatCode>General</c:formatCode>
                <c:ptCount val="4"/>
                <c:pt idx="0">
                  <c:v>1070</c:v>
                </c:pt>
                <c:pt idx="1">
                  <c:v>698</c:v>
                </c:pt>
                <c:pt idx="2">
                  <c:v>291</c:v>
                </c:pt>
                <c:pt idx="3">
                  <c:v>203</c:v>
                </c:pt>
              </c:numCache>
            </c:numRef>
          </c:yVal>
          <c:smooth val="0"/>
          <c:extLst>
            <c:ext xmlns:c16="http://schemas.microsoft.com/office/drawing/2014/chart" uri="{C3380CC4-5D6E-409C-BE32-E72D297353CC}">
              <c16:uniqueId val="{00000004-C231-4833-B192-7A7F15D112EE}"/>
            </c:ext>
          </c:extLst>
        </c:ser>
        <c:dLbls>
          <c:showLegendKey val="0"/>
          <c:showVal val="0"/>
          <c:showCatName val="0"/>
          <c:showSerName val="0"/>
          <c:showPercent val="0"/>
          <c:showBubbleSize val="0"/>
        </c:dLbls>
        <c:axId val="264406424"/>
        <c:axId val="264406816"/>
      </c:scatterChart>
      <c:valAx>
        <c:axId val="264406424"/>
        <c:scaling>
          <c:orientation val="minMax"/>
          <c:max val="120"/>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s-ES" b="1"/>
                  <a:t>t (h)</a:t>
                </a:r>
              </a:p>
            </c:rich>
          </c:tx>
          <c:layout>
            <c:manualLayout>
              <c:xMode val="edge"/>
              <c:yMode val="edge"/>
              <c:x val="0.4767346894138233"/>
              <c:y val="0.91988879438850879"/>
            </c:manualLayout>
          </c:layout>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64406816"/>
        <c:crosses val="autoZero"/>
        <c:crossBetween val="midCat"/>
      </c:valAx>
      <c:valAx>
        <c:axId val="264406816"/>
        <c:scaling>
          <c:orientation val="minMax"/>
          <c:max val="140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s-ES" sz="1000" b="1" i="0" u="none" strike="noStrike" baseline="0">
                    <a:effectLst/>
                  </a:rPr>
                  <a:t>Anolyte </a:t>
                </a:r>
                <a:r>
                  <a:rPr lang="es-ES" b="1"/>
                  <a:t>[N-NH</a:t>
                </a:r>
                <a:r>
                  <a:rPr lang="es-ES" b="1" baseline="-25000"/>
                  <a:t>4</a:t>
                </a:r>
                <a:r>
                  <a:rPr lang="es-ES" b="1" baseline="30000"/>
                  <a:t>+</a:t>
                </a:r>
                <a:r>
                  <a:rPr lang="es-ES" b="1" baseline="0"/>
                  <a:t>] </a:t>
                </a:r>
                <a:r>
                  <a:rPr lang="es-ES" sz="1000" b="1" i="0" u="none" strike="noStrike" baseline="0">
                    <a:effectLst/>
                  </a:rPr>
                  <a:t> (mg-N/L)</a:t>
                </a:r>
                <a:endParaRPr lang="es-ES" b="1" baseline="0"/>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64406424"/>
        <c:crosses val="autoZero"/>
        <c:crossBetween val="midCat"/>
      </c:valAx>
    </c:plotArea>
    <c:legend>
      <c:legendPos val="r"/>
      <c:legendEntry>
        <c:idx val="3"/>
        <c:delete val="1"/>
      </c:legendEntry>
      <c:legendEntry>
        <c:idx val="4"/>
        <c:delete val="1"/>
      </c:legendEntry>
      <c:legendEntry>
        <c:idx val="5"/>
        <c:delete val="1"/>
      </c:legendEntry>
      <c:legendEntry>
        <c:idx val="6"/>
        <c:delete val="1"/>
      </c:legendEntry>
      <c:layout>
        <c:manualLayout>
          <c:xMode val="edge"/>
          <c:yMode val="edge"/>
          <c:x val="0.84200437267133943"/>
          <c:y val="4.3923608996389273E-2"/>
          <c:w val="0.12796146917480541"/>
          <c:h val="0.25613259668508276"/>
        </c:manualLayout>
      </c:layou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txPr>
    <a:bodyPr/>
    <a:lstStyle/>
    <a:p>
      <a:pPr>
        <a:defRPr/>
      </a:pPr>
      <a:endParaRPr lang="es-ES"/>
    </a:p>
  </c:txPr>
  <c:printSettings>
    <c:headerFooter/>
    <c:pageMargins b="0.75000000000000222" l="0.70000000000000062" r="0.70000000000000062" t="0.7500000000000022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92825896762958"/>
          <c:y val="8.0266115476858066E-2"/>
          <c:w val="0.81787270341207363"/>
          <c:h val="0.56831910804560959"/>
        </c:manualLayout>
      </c:layout>
      <c:scatterChart>
        <c:scatterStyle val="lineMarker"/>
        <c:varyColors val="0"/>
        <c:ser>
          <c:idx val="0"/>
          <c:order val="0"/>
          <c:tx>
            <c:v>Cell 1</c:v>
          </c:tx>
          <c:spPr>
            <a:ln w="19050">
              <a:noFill/>
            </a:ln>
          </c:spPr>
          <c:marker>
            <c:symbol val="circle"/>
            <c:size val="5"/>
            <c:spPr>
              <a:solidFill>
                <a:srgbClr val="0070C0"/>
              </a:solidFill>
              <a:ln w="9525">
                <a:solidFill>
                  <a:srgbClr val="0070C0"/>
                </a:solidFill>
              </a:ln>
              <a:effectLst/>
            </c:spPr>
          </c:marker>
          <c:xVal>
            <c:numRef>
              <c:f>'Graphics &amp; figures'!$H$47:$H$60</c:f>
              <c:numCache>
                <c:formatCode>General</c:formatCode>
                <c:ptCount val="14"/>
                <c:pt idx="0">
                  <c:v>1</c:v>
                </c:pt>
                <c:pt idx="1">
                  <c:v>1</c:v>
                </c:pt>
                <c:pt idx="2">
                  <c:v>1</c:v>
                </c:pt>
                <c:pt idx="3">
                  <c:v>1</c:v>
                </c:pt>
                <c:pt idx="4">
                  <c:v>1</c:v>
                </c:pt>
                <c:pt idx="5">
                  <c:v>1</c:v>
                </c:pt>
                <c:pt idx="6">
                  <c:v>1</c:v>
                </c:pt>
                <c:pt idx="7">
                  <c:v>1</c:v>
                </c:pt>
                <c:pt idx="8">
                  <c:v>1</c:v>
                </c:pt>
                <c:pt idx="9">
                  <c:v>2</c:v>
                </c:pt>
                <c:pt idx="10">
                  <c:v>2</c:v>
                </c:pt>
                <c:pt idx="11">
                  <c:v>3</c:v>
                </c:pt>
                <c:pt idx="12">
                  <c:v>3</c:v>
                </c:pt>
                <c:pt idx="13">
                  <c:v>4</c:v>
                </c:pt>
              </c:numCache>
            </c:numRef>
          </c:xVal>
          <c:yVal>
            <c:numRef>
              <c:f>'Graphics &amp; figures'!$I$47:$I$60</c:f>
              <c:numCache>
                <c:formatCode>General</c:formatCode>
                <c:ptCount val="14"/>
                <c:pt idx="0">
                  <c:v>17.239999999999998</c:v>
                </c:pt>
                <c:pt idx="1">
                  <c:v>18.12</c:v>
                </c:pt>
                <c:pt idx="2">
                  <c:v>16.27</c:v>
                </c:pt>
                <c:pt idx="3">
                  <c:v>14.91</c:v>
                </c:pt>
                <c:pt idx="5">
                  <c:v>14.3</c:v>
                </c:pt>
                <c:pt idx="7">
                  <c:v>15.85</c:v>
                </c:pt>
                <c:pt idx="8">
                  <c:v>17.29</c:v>
                </c:pt>
                <c:pt idx="9">
                  <c:v>12.2</c:v>
                </c:pt>
                <c:pt idx="12" formatCode="0.0">
                  <c:v>13.7</c:v>
                </c:pt>
                <c:pt idx="13">
                  <c:v>9.6999999999999993</c:v>
                </c:pt>
              </c:numCache>
            </c:numRef>
          </c:yVal>
          <c:smooth val="0"/>
          <c:extLst>
            <c:ext xmlns:c16="http://schemas.microsoft.com/office/drawing/2014/chart" uri="{C3380CC4-5D6E-409C-BE32-E72D297353CC}">
              <c16:uniqueId val="{00000000-0D5A-4509-A59F-776A66B8F09B}"/>
            </c:ext>
          </c:extLst>
        </c:ser>
        <c:ser>
          <c:idx val="1"/>
          <c:order val="1"/>
          <c:tx>
            <c:v>Cell 2</c:v>
          </c:tx>
          <c:spPr>
            <a:ln w="19050">
              <a:noFill/>
            </a:ln>
          </c:spPr>
          <c:marker>
            <c:symbol val="triangle"/>
            <c:size val="5"/>
          </c:marker>
          <c:xVal>
            <c:numRef>
              <c:f>'Graphics &amp; figures'!$H$47:$H$60</c:f>
              <c:numCache>
                <c:formatCode>General</c:formatCode>
                <c:ptCount val="14"/>
                <c:pt idx="0">
                  <c:v>1</c:v>
                </c:pt>
                <c:pt idx="1">
                  <c:v>1</c:v>
                </c:pt>
                <c:pt idx="2">
                  <c:v>1</c:v>
                </c:pt>
                <c:pt idx="3">
                  <c:v>1</c:v>
                </c:pt>
                <c:pt idx="4">
                  <c:v>1</c:v>
                </c:pt>
                <c:pt idx="5">
                  <c:v>1</c:v>
                </c:pt>
                <c:pt idx="6">
                  <c:v>1</c:v>
                </c:pt>
                <c:pt idx="7">
                  <c:v>1</c:v>
                </c:pt>
                <c:pt idx="8">
                  <c:v>1</c:v>
                </c:pt>
                <c:pt idx="9">
                  <c:v>2</c:v>
                </c:pt>
                <c:pt idx="10">
                  <c:v>2</c:v>
                </c:pt>
                <c:pt idx="11">
                  <c:v>3</c:v>
                </c:pt>
                <c:pt idx="12">
                  <c:v>3</c:v>
                </c:pt>
                <c:pt idx="13">
                  <c:v>4</c:v>
                </c:pt>
              </c:numCache>
            </c:numRef>
          </c:xVal>
          <c:yVal>
            <c:numRef>
              <c:f>'Graphics &amp; figures'!$J$47:$J$60</c:f>
              <c:numCache>
                <c:formatCode>General</c:formatCode>
                <c:ptCount val="14"/>
                <c:pt idx="0">
                  <c:v>15.52</c:v>
                </c:pt>
                <c:pt idx="1">
                  <c:v>19.12</c:v>
                </c:pt>
                <c:pt idx="2">
                  <c:v>16.329999999999998</c:v>
                </c:pt>
                <c:pt idx="3">
                  <c:v>15.74</c:v>
                </c:pt>
                <c:pt idx="4">
                  <c:v>15.09</c:v>
                </c:pt>
                <c:pt idx="5">
                  <c:v>15.93</c:v>
                </c:pt>
                <c:pt idx="8">
                  <c:v>16.059999999999999</c:v>
                </c:pt>
                <c:pt idx="9">
                  <c:v>11.08</c:v>
                </c:pt>
                <c:pt idx="10" formatCode="0.0">
                  <c:v>13.869795053003534</c:v>
                </c:pt>
                <c:pt idx="11">
                  <c:v>13.73</c:v>
                </c:pt>
                <c:pt idx="13">
                  <c:v>7.28</c:v>
                </c:pt>
              </c:numCache>
            </c:numRef>
          </c:yVal>
          <c:smooth val="0"/>
          <c:extLst>
            <c:ext xmlns:c16="http://schemas.microsoft.com/office/drawing/2014/chart" uri="{C3380CC4-5D6E-409C-BE32-E72D297353CC}">
              <c16:uniqueId val="{00000002-0D5A-4509-A59F-776A66B8F09B}"/>
            </c:ext>
          </c:extLst>
        </c:ser>
        <c:dLbls>
          <c:showLegendKey val="0"/>
          <c:showVal val="0"/>
          <c:showCatName val="0"/>
          <c:showSerName val="0"/>
          <c:showPercent val="0"/>
          <c:showBubbleSize val="0"/>
        </c:dLbls>
        <c:axId val="264407992"/>
        <c:axId val="264515144"/>
      </c:scatterChart>
      <c:valAx>
        <c:axId val="264407992"/>
        <c:scaling>
          <c:orientation val="minMax"/>
        </c:scaling>
        <c:delete val="0"/>
        <c:axPos val="b"/>
        <c:numFmt formatCode="@"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s-ES"/>
          </a:p>
        </c:txPr>
        <c:crossAx val="264515144"/>
        <c:crosses val="autoZero"/>
        <c:crossBetween val="midCat"/>
        <c:majorUnit val="1"/>
        <c:minorUnit val="1"/>
      </c:valAx>
      <c:valAx>
        <c:axId val="264515144"/>
        <c:scaling>
          <c:orientation val="minMax"/>
          <c:min val="0"/>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ES" sz="1100" b="1"/>
                  <a:t>N-NH</a:t>
                </a:r>
                <a:r>
                  <a:rPr lang="es-ES" sz="1100" b="1" baseline="-25000"/>
                  <a:t>4</a:t>
                </a:r>
                <a:r>
                  <a:rPr lang="es-ES" sz="1100" b="1" baseline="30000"/>
                  <a:t>+</a:t>
                </a:r>
                <a:r>
                  <a:rPr lang="es-ES" sz="1100" b="1"/>
                  <a:t> removal</a:t>
                </a:r>
                <a:r>
                  <a:rPr lang="es-ES" sz="1100" b="1" baseline="0"/>
                  <a:t> (g-N/m</a:t>
                </a:r>
                <a:r>
                  <a:rPr lang="es-ES" sz="1100" b="1" baseline="30000"/>
                  <a:t>2</a:t>
                </a:r>
                <a:r>
                  <a:rPr lang="es-ES" sz="1100" b="1" baseline="0">
                    <a:latin typeface="Calibri" panose="020F0502020204030204" pitchFamily="34" charset="0"/>
                    <a:cs typeface="Calibri" panose="020F0502020204030204" pitchFamily="34" charset="0"/>
                  </a:rPr>
                  <a:t>/</a:t>
                </a:r>
                <a:r>
                  <a:rPr lang="es-ES" sz="1100" b="1" baseline="0"/>
                  <a:t>d)</a:t>
                </a:r>
                <a:endParaRPr lang="es-ES" sz="1100" b="1"/>
              </a:p>
            </c:rich>
          </c:tx>
          <c:layout>
            <c:manualLayout>
              <c:xMode val="edge"/>
              <c:yMode val="edge"/>
              <c:x val="0"/>
              <c:y val="5.3705113011913198E-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64407992"/>
        <c:crosses val="autoZero"/>
        <c:crossBetween val="midCat"/>
      </c:valAx>
      <c:spPr>
        <a:noFill/>
        <a:ln>
          <a:noFill/>
        </a:ln>
        <a:effectLst/>
      </c:spPr>
    </c:plotArea>
    <c:legend>
      <c:legendPos val="r"/>
      <c:layout>
        <c:manualLayout>
          <c:xMode val="edge"/>
          <c:yMode val="edge"/>
          <c:x val="0.82746762904636773"/>
          <c:y val="5.3392030356385164E-2"/>
          <c:w val="0.11355008748906388"/>
          <c:h val="0.16209624031091124"/>
        </c:manualLayout>
      </c:layout>
      <c:overlay val="0"/>
      <c:spPr>
        <a:noFill/>
        <a:ln>
          <a:solidFill>
            <a:sysClr val="windowText" lastClr="000000"/>
          </a:solid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000000000000222" l="0.70000000000000062" r="0.70000000000000062" t="0.75000000000000222"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92825896762958"/>
          <c:y val="8.0266115476858066E-2"/>
          <c:w val="0.81787270341207363"/>
          <c:h val="0.55531098462617345"/>
        </c:manualLayout>
      </c:layout>
      <c:scatterChart>
        <c:scatterStyle val="lineMarker"/>
        <c:varyColors val="0"/>
        <c:ser>
          <c:idx val="0"/>
          <c:order val="0"/>
          <c:tx>
            <c:v>Cell 1</c:v>
          </c:tx>
          <c:spPr>
            <a:ln w="19050">
              <a:noFill/>
            </a:ln>
          </c:spPr>
          <c:marker>
            <c:symbol val="circle"/>
            <c:size val="5"/>
            <c:spPr>
              <a:solidFill>
                <a:schemeClr val="accent1"/>
              </a:solidFill>
              <a:ln w="9525">
                <a:solidFill>
                  <a:schemeClr val="accent1"/>
                </a:solidFill>
              </a:ln>
              <a:effectLst/>
            </c:spPr>
          </c:marker>
          <c:xVal>
            <c:numRef>
              <c:f>'Graphics &amp; figures'!$H$70:$H$83</c:f>
              <c:numCache>
                <c:formatCode>General</c:formatCode>
                <c:ptCount val="14"/>
                <c:pt idx="0">
                  <c:v>1</c:v>
                </c:pt>
                <c:pt idx="1">
                  <c:v>1</c:v>
                </c:pt>
                <c:pt idx="2">
                  <c:v>1</c:v>
                </c:pt>
                <c:pt idx="3">
                  <c:v>1</c:v>
                </c:pt>
                <c:pt idx="4">
                  <c:v>1</c:v>
                </c:pt>
                <c:pt idx="5">
                  <c:v>1</c:v>
                </c:pt>
                <c:pt idx="6">
                  <c:v>1</c:v>
                </c:pt>
                <c:pt idx="7">
                  <c:v>1</c:v>
                </c:pt>
                <c:pt idx="8">
                  <c:v>1</c:v>
                </c:pt>
                <c:pt idx="9">
                  <c:v>2</c:v>
                </c:pt>
                <c:pt idx="10">
                  <c:v>2</c:v>
                </c:pt>
                <c:pt idx="11">
                  <c:v>3</c:v>
                </c:pt>
                <c:pt idx="12">
                  <c:v>3</c:v>
                </c:pt>
                <c:pt idx="13">
                  <c:v>4</c:v>
                </c:pt>
              </c:numCache>
            </c:numRef>
          </c:xVal>
          <c:yVal>
            <c:numRef>
              <c:f>'Graphics &amp; figures'!$I$70:$I$83</c:f>
              <c:numCache>
                <c:formatCode>General</c:formatCode>
                <c:ptCount val="14"/>
                <c:pt idx="0">
                  <c:v>12.8</c:v>
                </c:pt>
                <c:pt idx="1">
                  <c:v>7.9</c:v>
                </c:pt>
                <c:pt idx="2">
                  <c:v>9.6</c:v>
                </c:pt>
                <c:pt idx="3" formatCode="0.0">
                  <c:v>9</c:v>
                </c:pt>
                <c:pt idx="4">
                  <c:v>7.2</c:v>
                </c:pt>
                <c:pt idx="5">
                  <c:v>7.8</c:v>
                </c:pt>
                <c:pt idx="6">
                  <c:v>8.3000000000000007</c:v>
                </c:pt>
                <c:pt idx="7">
                  <c:v>7.6</c:v>
                </c:pt>
                <c:pt idx="8">
                  <c:v>10.6</c:v>
                </c:pt>
                <c:pt idx="9">
                  <c:v>6.7</c:v>
                </c:pt>
                <c:pt idx="10">
                  <c:v>6.1</c:v>
                </c:pt>
                <c:pt idx="12" formatCode="0.0">
                  <c:v>7</c:v>
                </c:pt>
                <c:pt idx="13" formatCode="0.0">
                  <c:v>1</c:v>
                </c:pt>
              </c:numCache>
            </c:numRef>
          </c:yVal>
          <c:smooth val="0"/>
          <c:extLst>
            <c:ext xmlns:c16="http://schemas.microsoft.com/office/drawing/2014/chart" uri="{C3380CC4-5D6E-409C-BE32-E72D297353CC}">
              <c16:uniqueId val="{00000000-B798-4755-AF87-CC9150290DD4}"/>
            </c:ext>
          </c:extLst>
        </c:ser>
        <c:ser>
          <c:idx val="1"/>
          <c:order val="1"/>
          <c:tx>
            <c:v>Cell 2</c:v>
          </c:tx>
          <c:spPr>
            <a:ln w="19050">
              <a:noFill/>
            </a:ln>
          </c:spPr>
          <c:marker>
            <c:symbol val="triangle"/>
            <c:size val="5"/>
          </c:marker>
          <c:xVal>
            <c:numRef>
              <c:f>'Graphics &amp; figures'!$H$70:$H$83</c:f>
              <c:numCache>
                <c:formatCode>General</c:formatCode>
                <c:ptCount val="14"/>
                <c:pt idx="0">
                  <c:v>1</c:v>
                </c:pt>
                <c:pt idx="1">
                  <c:v>1</c:v>
                </c:pt>
                <c:pt idx="2">
                  <c:v>1</c:v>
                </c:pt>
                <c:pt idx="3">
                  <c:v>1</c:v>
                </c:pt>
                <c:pt idx="4">
                  <c:v>1</c:v>
                </c:pt>
                <c:pt idx="5">
                  <c:v>1</c:v>
                </c:pt>
                <c:pt idx="6">
                  <c:v>1</c:v>
                </c:pt>
                <c:pt idx="7">
                  <c:v>1</c:v>
                </c:pt>
                <c:pt idx="8">
                  <c:v>1</c:v>
                </c:pt>
                <c:pt idx="9">
                  <c:v>2</c:v>
                </c:pt>
                <c:pt idx="10">
                  <c:v>2</c:v>
                </c:pt>
                <c:pt idx="11">
                  <c:v>3</c:v>
                </c:pt>
                <c:pt idx="12">
                  <c:v>3</c:v>
                </c:pt>
                <c:pt idx="13">
                  <c:v>4</c:v>
                </c:pt>
              </c:numCache>
            </c:numRef>
          </c:xVal>
          <c:yVal>
            <c:numRef>
              <c:f>'Graphics &amp; figures'!$J$70:$J$83</c:f>
              <c:numCache>
                <c:formatCode>General</c:formatCode>
                <c:ptCount val="14"/>
                <c:pt idx="1">
                  <c:v>10</c:v>
                </c:pt>
                <c:pt idx="2">
                  <c:v>8.9</c:v>
                </c:pt>
                <c:pt idx="3">
                  <c:v>8.9</c:v>
                </c:pt>
                <c:pt idx="4">
                  <c:v>7.6</c:v>
                </c:pt>
                <c:pt idx="5">
                  <c:v>8.1999999999999993</c:v>
                </c:pt>
                <c:pt idx="8">
                  <c:v>9.6</c:v>
                </c:pt>
                <c:pt idx="9">
                  <c:v>6.3</c:v>
                </c:pt>
                <c:pt idx="10" formatCode="0.0">
                  <c:v>4.9000000000000004</c:v>
                </c:pt>
                <c:pt idx="11">
                  <c:v>6.5</c:v>
                </c:pt>
                <c:pt idx="12">
                  <c:v>6.6</c:v>
                </c:pt>
                <c:pt idx="13">
                  <c:v>0.9</c:v>
                </c:pt>
              </c:numCache>
            </c:numRef>
          </c:yVal>
          <c:smooth val="0"/>
          <c:extLst>
            <c:ext xmlns:c16="http://schemas.microsoft.com/office/drawing/2014/chart" uri="{C3380CC4-5D6E-409C-BE32-E72D297353CC}">
              <c16:uniqueId val="{00000002-B798-4755-AF87-CC9150290DD4}"/>
            </c:ext>
          </c:extLst>
        </c:ser>
        <c:dLbls>
          <c:showLegendKey val="0"/>
          <c:showVal val="0"/>
          <c:showCatName val="0"/>
          <c:showSerName val="0"/>
          <c:showPercent val="0"/>
          <c:showBubbleSize val="0"/>
        </c:dLbls>
        <c:axId val="264515928"/>
        <c:axId val="264516320"/>
      </c:scatterChart>
      <c:valAx>
        <c:axId val="264515928"/>
        <c:scaling>
          <c:orientation val="minMax"/>
        </c:scaling>
        <c:delete val="0"/>
        <c:axPos val="b"/>
        <c:numFmt formatCode="@"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s-ES"/>
          </a:p>
        </c:txPr>
        <c:crossAx val="264516320"/>
        <c:crosses val="autoZero"/>
        <c:crossBetween val="midCat"/>
        <c:majorUnit val="1"/>
        <c:minorUnit val="1"/>
      </c:valAx>
      <c:valAx>
        <c:axId val="264516320"/>
        <c:scaling>
          <c:orientation val="minMax"/>
          <c:min val="0"/>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ES" sz="1100" b="1" i="0" baseline="0">
                    <a:effectLst/>
                  </a:rPr>
                  <a:t>N-NH</a:t>
                </a:r>
                <a:r>
                  <a:rPr lang="es-ES" sz="1100" b="1" i="0" baseline="-25000">
                    <a:effectLst/>
                  </a:rPr>
                  <a:t>4</a:t>
                </a:r>
                <a:r>
                  <a:rPr lang="es-ES" sz="1100" b="1" i="0" baseline="30000">
                    <a:effectLst/>
                  </a:rPr>
                  <a:t>+</a:t>
                </a:r>
                <a:r>
                  <a:rPr lang="es-ES" sz="1100" b="1" i="0" baseline="0">
                    <a:effectLst/>
                  </a:rPr>
                  <a:t> recovery (g-N/m</a:t>
                </a:r>
                <a:r>
                  <a:rPr lang="es-ES" sz="1100" b="1" i="0" baseline="30000">
                    <a:effectLst/>
                  </a:rPr>
                  <a:t>2</a:t>
                </a:r>
                <a:r>
                  <a:rPr lang="es-ES" sz="1100" b="1" i="0" baseline="0">
                    <a:effectLst/>
                  </a:rPr>
                  <a:t>/d)</a:t>
                </a:r>
                <a:endParaRPr lang="es-ES" sz="1100">
                  <a:effectLst/>
                </a:endParaRPr>
              </a:p>
            </c:rich>
          </c:tx>
          <c:layout>
            <c:manualLayout>
              <c:xMode val="edge"/>
              <c:yMode val="edge"/>
              <c:x val="0"/>
              <c:y val="4.9369071872101336E-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64515928"/>
        <c:crosses val="autoZero"/>
        <c:crossBetween val="midCat"/>
      </c:valAx>
      <c:spPr>
        <a:noFill/>
        <a:ln>
          <a:noFill/>
        </a:ln>
        <a:effectLst/>
      </c:spPr>
    </c:plotArea>
    <c:legend>
      <c:legendPos val="r"/>
      <c:layout>
        <c:manualLayout>
          <c:xMode val="edge"/>
          <c:yMode val="edge"/>
          <c:x val="0.82746762904636773"/>
          <c:y val="5.3392030356385164E-2"/>
          <c:w val="0.11355008748906388"/>
          <c:h val="0.16209624031091124"/>
        </c:manualLayout>
      </c:layout>
      <c:overlay val="0"/>
      <c:spPr>
        <a:noFill/>
        <a:ln>
          <a:solidFill>
            <a:sysClr val="windowText" lastClr="000000"/>
          </a:solid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000000000000222" l="0.70000000000000062" r="0.70000000000000062" t="0.75000000000000222"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133350</xdr:colOff>
      <xdr:row>2</xdr:row>
      <xdr:rowOff>76200</xdr:rowOff>
    </xdr:from>
    <xdr:to>
      <xdr:col>6</xdr:col>
      <xdr:colOff>142875</xdr:colOff>
      <xdr:row>17</xdr:row>
      <xdr:rowOff>92075</xdr:rowOff>
    </xdr:to>
    <xdr:graphicFrame macro="">
      <xdr:nvGraphicFramePr>
        <xdr:cNvPr id="4" name="Gráfico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330199</xdr:colOff>
      <xdr:row>21</xdr:row>
      <xdr:rowOff>92074</xdr:rowOff>
    </xdr:from>
    <xdr:to>
      <xdr:col>6</xdr:col>
      <xdr:colOff>505238</xdr:colOff>
      <xdr:row>38</xdr:row>
      <xdr:rowOff>24847</xdr:rowOff>
    </xdr:to>
    <xdr:graphicFrame macro="">
      <xdr:nvGraphicFramePr>
        <xdr:cNvPr id="9" name="Gráfico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146187</xdr:colOff>
      <xdr:row>35</xdr:row>
      <xdr:rowOff>58392</xdr:rowOff>
    </xdr:from>
    <xdr:to>
      <xdr:col>3</xdr:col>
      <xdr:colOff>41412</xdr:colOff>
      <xdr:row>37</xdr:row>
      <xdr:rowOff>150468</xdr:rowOff>
    </xdr:to>
    <xdr:sp macro="" textlink="">
      <xdr:nvSpPr>
        <xdr:cNvPr id="10" name="CuadroTexto 9">
          <a:extLst>
            <a:ext uri="{FF2B5EF4-FFF2-40B4-BE49-F238E27FC236}">
              <a16:creationId xmlns:a16="http://schemas.microsoft.com/office/drawing/2014/main" id="{00000000-0008-0000-0400-00000A000000}"/>
            </a:ext>
          </a:extLst>
        </xdr:cNvPr>
        <xdr:cNvSpPr txBox="1"/>
      </xdr:nvSpPr>
      <xdr:spPr>
        <a:xfrm>
          <a:off x="1670187" y="6725892"/>
          <a:ext cx="657225" cy="473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a:t>MEC</a:t>
          </a:r>
        </a:p>
        <a:p>
          <a:pPr algn="ctr"/>
          <a:r>
            <a:rPr lang="es-ES" sz="1100" b="1"/>
            <a:t>(+0.2 V)</a:t>
          </a:r>
        </a:p>
      </xdr:txBody>
    </xdr:sp>
    <xdr:clientData/>
  </xdr:twoCellAnchor>
  <xdr:twoCellAnchor>
    <xdr:from>
      <xdr:col>3</xdr:col>
      <xdr:colOff>528431</xdr:colOff>
      <xdr:row>35</xdr:row>
      <xdr:rowOff>40587</xdr:rowOff>
    </xdr:from>
    <xdr:to>
      <xdr:col>4</xdr:col>
      <xdr:colOff>414131</xdr:colOff>
      <xdr:row>37</xdr:row>
      <xdr:rowOff>126313</xdr:rowOff>
    </xdr:to>
    <xdr:sp macro="" textlink="">
      <xdr:nvSpPr>
        <xdr:cNvPr id="11" name="CuadroTexto 10">
          <a:extLst>
            <a:ext uri="{FF2B5EF4-FFF2-40B4-BE49-F238E27FC236}">
              <a16:creationId xmlns:a16="http://schemas.microsoft.com/office/drawing/2014/main" id="{00000000-0008-0000-0400-00000B000000}"/>
            </a:ext>
          </a:extLst>
        </xdr:cNvPr>
        <xdr:cNvSpPr txBox="1"/>
      </xdr:nvSpPr>
      <xdr:spPr>
        <a:xfrm>
          <a:off x="2814431" y="6708087"/>
          <a:ext cx="647700" cy="466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a:t>MFC</a:t>
          </a:r>
        </a:p>
        <a:p>
          <a:pPr algn="ctr"/>
          <a:r>
            <a:rPr lang="es-ES" sz="1100" b="1"/>
            <a:t>(-0.1</a:t>
          </a:r>
          <a:r>
            <a:rPr lang="es-ES" sz="1100" b="1" baseline="0"/>
            <a:t> V)</a:t>
          </a:r>
          <a:endParaRPr lang="es-ES" sz="1100" b="1"/>
        </a:p>
      </xdr:txBody>
    </xdr:sp>
    <xdr:clientData/>
  </xdr:twoCellAnchor>
  <xdr:twoCellAnchor>
    <xdr:from>
      <xdr:col>13</xdr:col>
      <xdr:colOff>447675</xdr:colOff>
      <xdr:row>2</xdr:row>
      <xdr:rowOff>73025</xdr:rowOff>
    </xdr:from>
    <xdr:to>
      <xdr:col>19</xdr:col>
      <xdr:colOff>454025</xdr:colOff>
      <xdr:row>17</xdr:row>
      <xdr:rowOff>95250</xdr:rowOff>
    </xdr:to>
    <xdr:graphicFrame macro="">
      <xdr:nvGraphicFramePr>
        <xdr:cNvPr id="12" name="Gráfico 11">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704850</xdr:colOff>
      <xdr:row>2</xdr:row>
      <xdr:rowOff>66675</xdr:rowOff>
    </xdr:from>
    <xdr:to>
      <xdr:col>12</xdr:col>
      <xdr:colOff>714375</xdr:colOff>
      <xdr:row>17</xdr:row>
      <xdr:rowOff>82550</xdr:rowOff>
    </xdr:to>
    <xdr:graphicFrame macro="">
      <xdr:nvGraphicFramePr>
        <xdr:cNvPr id="13" name="Gráfico 12">
          <a:extLst>
            <a:ext uri="{FF2B5EF4-FFF2-40B4-BE49-F238E27FC236}">
              <a16:creationId xmlns:a16="http://schemas.microsoft.com/office/drawing/2014/main" id="{00000000-0008-0000-0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487017</xdr:colOff>
      <xdr:row>32</xdr:row>
      <xdr:rowOff>53837</xdr:rowOff>
    </xdr:from>
    <xdr:to>
      <xdr:col>2</xdr:col>
      <xdr:colOff>496543</xdr:colOff>
      <xdr:row>34</xdr:row>
      <xdr:rowOff>145913</xdr:rowOff>
    </xdr:to>
    <xdr:sp macro="" textlink="">
      <xdr:nvSpPr>
        <xdr:cNvPr id="14" name="CuadroTexto 13">
          <a:extLst>
            <a:ext uri="{FF2B5EF4-FFF2-40B4-BE49-F238E27FC236}">
              <a16:creationId xmlns:a16="http://schemas.microsoft.com/office/drawing/2014/main" id="{00000000-0008-0000-0400-00000E000000}"/>
            </a:ext>
          </a:extLst>
        </xdr:cNvPr>
        <xdr:cNvSpPr txBox="1"/>
      </xdr:nvSpPr>
      <xdr:spPr>
        <a:xfrm>
          <a:off x="1249017" y="6149837"/>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synthetic medium</a:t>
          </a:r>
        </a:p>
      </xdr:txBody>
    </xdr:sp>
    <xdr:clientData/>
  </xdr:twoCellAnchor>
  <xdr:twoCellAnchor>
    <xdr:from>
      <xdr:col>2</xdr:col>
      <xdr:colOff>485774</xdr:colOff>
      <xdr:row>32</xdr:row>
      <xdr:rowOff>37271</xdr:rowOff>
    </xdr:from>
    <xdr:to>
      <xdr:col>3</xdr:col>
      <xdr:colOff>495300</xdr:colOff>
      <xdr:row>34</xdr:row>
      <xdr:rowOff>129347</xdr:rowOff>
    </xdr:to>
    <xdr:sp macro="" textlink="">
      <xdr:nvSpPr>
        <xdr:cNvPr id="15" name="CuadroTexto 14">
          <a:extLst>
            <a:ext uri="{FF2B5EF4-FFF2-40B4-BE49-F238E27FC236}">
              <a16:creationId xmlns:a16="http://schemas.microsoft.com/office/drawing/2014/main" id="{00000000-0008-0000-0400-00000F000000}"/>
            </a:ext>
          </a:extLst>
        </xdr:cNvPr>
        <xdr:cNvSpPr txBox="1"/>
      </xdr:nvSpPr>
      <xdr:spPr>
        <a:xfrm>
          <a:off x="2009774" y="6133271"/>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black water</a:t>
          </a:r>
        </a:p>
      </xdr:txBody>
    </xdr:sp>
    <xdr:clientData/>
  </xdr:twoCellAnchor>
  <xdr:twoCellAnchor>
    <xdr:from>
      <xdr:col>2</xdr:col>
      <xdr:colOff>35616</xdr:colOff>
      <xdr:row>34</xdr:row>
      <xdr:rowOff>104893</xdr:rowOff>
    </xdr:from>
    <xdr:to>
      <xdr:col>3</xdr:col>
      <xdr:colOff>137616</xdr:colOff>
      <xdr:row>35</xdr:row>
      <xdr:rowOff>58393</xdr:rowOff>
    </xdr:to>
    <xdr:sp macro="" textlink="">
      <xdr:nvSpPr>
        <xdr:cNvPr id="2" name="Abrir llave 1">
          <a:extLst>
            <a:ext uri="{FF2B5EF4-FFF2-40B4-BE49-F238E27FC236}">
              <a16:creationId xmlns:a16="http://schemas.microsoft.com/office/drawing/2014/main" id="{00000000-0008-0000-0400-000002000000}"/>
            </a:ext>
          </a:extLst>
        </xdr:cNvPr>
        <xdr:cNvSpPr/>
      </xdr:nvSpPr>
      <xdr:spPr>
        <a:xfrm rot="16200000">
          <a:off x="1919616" y="6221893"/>
          <a:ext cx="144000" cy="864000"/>
        </a:xfrm>
        <a:prstGeom prst="leftBrac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xdr:col>
      <xdr:colOff>505652</xdr:colOff>
      <xdr:row>32</xdr:row>
      <xdr:rowOff>20706</xdr:rowOff>
    </xdr:from>
    <xdr:to>
      <xdr:col>4</xdr:col>
      <xdr:colOff>515178</xdr:colOff>
      <xdr:row>34</xdr:row>
      <xdr:rowOff>112782</xdr:rowOff>
    </xdr:to>
    <xdr:sp macro="" textlink="">
      <xdr:nvSpPr>
        <xdr:cNvPr id="16" name="CuadroTexto 15">
          <a:extLst>
            <a:ext uri="{FF2B5EF4-FFF2-40B4-BE49-F238E27FC236}">
              <a16:creationId xmlns:a16="http://schemas.microsoft.com/office/drawing/2014/main" id="{00000000-0008-0000-0400-000010000000}"/>
            </a:ext>
          </a:extLst>
        </xdr:cNvPr>
        <xdr:cNvSpPr txBox="1"/>
      </xdr:nvSpPr>
      <xdr:spPr>
        <a:xfrm>
          <a:off x="2791652" y="6116706"/>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synthetic medium</a:t>
          </a:r>
        </a:p>
      </xdr:txBody>
    </xdr:sp>
    <xdr:clientData/>
  </xdr:twoCellAnchor>
  <xdr:twoCellAnchor>
    <xdr:from>
      <xdr:col>4</xdr:col>
      <xdr:colOff>611258</xdr:colOff>
      <xdr:row>35</xdr:row>
      <xdr:rowOff>98565</xdr:rowOff>
    </xdr:from>
    <xdr:to>
      <xdr:col>5</xdr:col>
      <xdr:colOff>496958</xdr:colOff>
      <xdr:row>37</xdr:row>
      <xdr:rowOff>184291</xdr:rowOff>
    </xdr:to>
    <xdr:sp macro="" textlink="">
      <xdr:nvSpPr>
        <xdr:cNvPr id="31" name="CuadroTexto 30">
          <a:extLst>
            <a:ext uri="{FF2B5EF4-FFF2-40B4-BE49-F238E27FC236}">
              <a16:creationId xmlns:a16="http://schemas.microsoft.com/office/drawing/2014/main" id="{00000000-0008-0000-0400-00001F000000}"/>
            </a:ext>
          </a:extLst>
        </xdr:cNvPr>
        <xdr:cNvSpPr txBox="1"/>
      </xdr:nvSpPr>
      <xdr:spPr>
        <a:xfrm>
          <a:off x="3659258" y="6766065"/>
          <a:ext cx="647700" cy="466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a:t>OCV</a:t>
          </a:r>
        </a:p>
        <a:p>
          <a:pPr algn="ctr"/>
          <a:endParaRPr lang="es-ES" sz="1100" b="1"/>
        </a:p>
      </xdr:txBody>
    </xdr:sp>
    <xdr:clientData/>
  </xdr:twoCellAnchor>
  <xdr:twoCellAnchor>
    <xdr:from>
      <xdr:col>4</xdr:col>
      <xdr:colOff>596762</xdr:colOff>
      <xdr:row>32</xdr:row>
      <xdr:rowOff>20706</xdr:rowOff>
    </xdr:from>
    <xdr:to>
      <xdr:col>5</xdr:col>
      <xdr:colOff>606288</xdr:colOff>
      <xdr:row>34</xdr:row>
      <xdr:rowOff>112782</xdr:rowOff>
    </xdr:to>
    <xdr:sp macro="" textlink="">
      <xdr:nvSpPr>
        <xdr:cNvPr id="32" name="CuadroTexto 31">
          <a:extLst>
            <a:ext uri="{FF2B5EF4-FFF2-40B4-BE49-F238E27FC236}">
              <a16:creationId xmlns:a16="http://schemas.microsoft.com/office/drawing/2014/main" id="{00000000-0008-0000-0400-000020000000}"/>
            </a:ext>
          </a:extLst>
        </xdr:cNvPr>
        <xdr:cNvSpPr txBox="1"/>
      </xdr:nvSpPr>
      <xdr:spPr>
        <a:xfrm>
          <a:off x="3644762" y="6116706"/>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synthetic medium</a:t>
          </a:r>
        </a:p>
      </xdr:txBody>
    </xdr:sp>
    <xdr:clientData/>
  </xdr:twoCellAnchor>
  <xdr:twoCellAnchor>
    <xdr:from>
      <xdr:col>0</xdr:col>
      <xdr:colOff>304798</xdr:colOff>
      <xdr:row>45</xdr:row>
      <xdr:rowOff>19050</xdr:rowOff>
    </xdr:from>
    <xdr:to>
      <xdr:col>6</xdr:col>
      <xdr:colOff>356151</xdr:colOff>
      <xdr:row>60</xdr:row>
      <xdr:rowOff>33130</xdr:rowOff>
    </xdr:to>
    <xdr:graphicFrame macro="">
      <xdr:nvGraphicFramePr>
        <xdr:cNvPr id="33" name="Gráfico 32">
          <a:extLst>
            <a:ext uri="{FF2B5EF4-FFF2-40B4-BE49-F238E27FC236}">
              <a16:creationId xmlns:a16="http://schemas.microsoft.com/office/drawing/2014/main" id="{00000000-0008-0000-04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129070</xdr:colOff>
      <xdr:row>57</xdr:row>
      <xdr:rowOff>142737</xdr:rowOff>
    </xdr:from>
    <xdr:to>
      <xdr:col>3</xdr:col>
      <xdr:colOff>24295</xdr:colOff>
      <xdr:row>60</xdr:row>
      <xdr:rowOff>8283</xdr:rowOff>
    </xdr:to>
    <xdr:sp macro="" textlink="">
      <xdr:nvSpPr>
        <xdr:cNvPr id="34" name="CuadroTexto 33">
          <a:extLst>
            <a:ext uri="{FF2B5EF4-FFF2-40B4-BE49-F238E27FC236}">
              <a16:creationId xmlns:a16="http://schemas.microsoft.com/office/drawing/2014/main" id="{00000000-0008-0000-0400-000022000000}"/>
            </a:ext>
          </a:extLst>
        </xdr:cNvPr>
        <xdr:cNvSpPr txBox="1"/>
      </xdr:nvSpPr>
      <xdr:spPr>
        <a:xfrm>
          <a:off x="1653070" y="11001237"/>
          <a:ext cx="657225" cy="4370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a:t>MEC</a:t>
          </a:r>
        </a:p>
        <a:p>
          <a:pPr algn="ctr"/>
          <a:r>
            <a:rPr lang="es-ES" sz="1100" b="1"/>
            <a:t>(+0.2 V)</a:t>
          </a:r>
        </a:p>
      </xdr:txBody>
    </xdr:sp>
    <xdr:clientData/>
  </xdr:twoCellAnchor>
  <xdr:twoCellAnchor>
    <xdr:from>
      <xdr:col>3</xdr:col>
      <xdr:colOff>469900</xdr:colOff>
      <xdr:row>57</xdr:row>
      <xdr:rowOff>116650</xdr:rowOff>
    </xdr:from>
    <xdr:to>
      <xdr:col>4</xdr:col>
      <xdr:colOff>355600</xdr:colOff>
      <xdr:row>60</xdr:row>
      <xdr:rowOff>11876</xdr:rowOff>
    </xdr:to>
    <xdr:sp macro="" textlink="">
      <xdr:nvSpPr>
        <xdr:cNvPr id="35" name="CuadroTexto 34">
          <a:extLst>
            <a:ext uri="{FF2B5EF4-FFF2-40B4-BE49-F238E27FC236}">
              <a16:creationId xmlns:a16="http://schemas.microsoft.com/office/drawing/2014/main" id="{00000000-0008-0000-0400-000023000000}"/>
            </a:ext>
          </a:extLst>
        </xdr:cNvPr>
        <xdr:cNvSpPr txBox="1"/>
      </xdr:nvSpPr>
      <xdr:spPr>
        <a:xfrm>
          <a:off x="2755900" y="10975150"/>
          <a:ext cx="647700" cy="466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a:t>MFC</a:t>
          </a:r>
        </a:p>
        <a:p>
          <a:pPr algn="ctr"/>
          <a:r>
            <a:rPr lang="es-ES" sz="1100" b="1"/>
            <a:t>(-0.1</a:t>
          </a:r>
          <a:r>
            <a:rPr lang="es-ES" sz="1100" b="1" baseline="0"/>
            <a:t> V)</a:t>
          </a:r>
          <a:endParaRPr lang="es-ES" sz="1100" b="1"/>
        </a:p>
      </xdr:txBody>
    </xdr:sp>
    <xdr:clientData/>
  </xdr:twoCellAnchor>
  <xdr:twoCellAnchor>
    <xdr:from>
      <xdr:col>1</xdr:col>
      <xdr:colOff>478182</xdr:colOff>
      <xdr:row>54</xdr:row>
      <xdr:rowOff>171312</xdr:rowOff>
    </xdr:from>
    <xdr:to>
      <xdr:col>2</xdr:col>
      <xdr:colOff>487708</xdr:colOff>
      <xdr:row>57</xdr:row>
      <xdr:rowOff>72888</xdr:rowOff>
    </xdr:to>
    <xdr:sp macro="" textlink="">
      <xdr:nvSpPr>
        <xdr:cNvPr id="36" name="CuadroTexto 35">
          <a:extLst>
            <a:ext uri="{FF2B5EF4-FFF2-40B4-BE49-F238E27FC236}">
              <a16:creationId xmlns:a16="http://schemas.microsoft.com/office/drawing/2014/main" id="{00000000-0008-0000-0400-000024000000}"/>
            </a:ext>
          </a:extLst>
        </xdr:cNvPr>
        <xdr:cNvSpPr txBox="1"/>
      </xdr:nvSpPr>
      <xdr:spPr>
        <a:xfrm>
          <a:off x="1240182" y="9696312"/>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synthetic medium</a:t>
          </a:r>
        </a:p>
      </xdr:txBody>
    </xdr:sp>
    <xdr:clientData/>
  </xdr:twoCellAnchor>
  <xdr:twoCellAnchor>
    <xdr:from>
      <xdr:col>2</xdr:col>
      <xdr:colOff>435526</xdr:colOff>
      <xdr:row>55</xdr:row>
      <xdr:rowOff>5659</xdr:rowOff>
    </xdr:from>
    <xdr:to>
      <xdr:col>3</xdr:col>
      <xdr:colOff>445052</xdr:colOff>
      <xdr:row>57</xdr:row>
      <xdr:rowOff>97735</xdr:rowOff>
    </xdr:to>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959526" y="9721159"/>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black water</a:t>
          </a:r>
        </a:p>
      </xdr:txBody>
    </xdr:sp>
    <xdr:clientData/>
  </xdr:twoCellAnchor>
  <xdr:twoCellAnchor>
    <xdr:from>
      <xdr:col>2</xdr:col>
      <xdr:colOff>26781</xdr:colOff>
      <xdr:row>57</xdr:row>
      <xdr:rowOff>15302</xdr:rowOff>
    </xdr:from>
    <xdr:to>
      <xdr:col>3</xdr:col>
      <xdr:colOff>128781</xdr:colOff>
      <xdr:row>57</xdr:row>
      <xdr:rowOff>159302</xdr:rowOff>
    </xdr:to>
    <xdr:sp macro="" textlink="">
      <xdr:nvSpPr>
        <xdr:cNvPr id="38" name="Abrir llave 37">
          <a:extLst>
            <a:ext uri="{FF2B5EF4-FFF2-40B4-BE49-F238E27FC236}">
              <a16:creationId xmlns:a16="http://schemas.microsoft.com/office/drawing/2014/main" id="{00000000-0008-0000-0400-000026000000}"/>
            </a:ext>
          </a:extLst>
        </xdr:cNvPr>
        <xdr:cNvSpPr/>
      </xdr:nvSpPr>
      <xdr:spPr>
        <a:xfrm rot="16200000">
          <a:off x="1910781" y="9751802"/>
          <a:ext cx="144000" cy="864000"/>
        </a:xfrm>
        <a:prstGeom prst="leftBrac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xdr:col>
      <xdr:colOff>438839</xdr:colOff>
      <xdr:row>54</xdr:row>
      <xdr:rowOff>154747</xdr:rowOff>
    </xdr:from>
    <xdr:to>
      <xdr:col>4</xdr:col>
      <xdr:colOff>448365</xdr:colOff>
      <xdr:row>57</xdr:row>
      <xdr:rowOff>56323</xdr:rowOff>
    </xdr:to>
    <xdr:sp macro="" textlink="">
      <xdr:nvSpPr>
        <xdr:cNvPr id="39" name="CuadroTexto 38">
          <a:extLst>
            <a:ext uri="{FF2B5EF4-FFF2-40B4-BE49-F238E27FC236}">
              <a16:creationId xmlns:a16="http://schemas.microsoft.com/office/drawing/2014/main" id="{00000000-0008-0000-0400-000027000000}"/>
            </a:ext>
          </a:extLst>
        </xdr:cNvPr>
        <xdr:cNvSpPr txBox="1"/>
      </xdr:nvSpPr>
      <xdr:spPr>
        <a:xfrm>
          <a:off x="2724839" y="9679747"/>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synthetic medium</a:t>
          </a:r>
        </a:p>
      </xdr:txBody>
    </xdr:sp>
    <xdr:clientData/>
  </xdr:twoCellAnchor>
  <xdr:twoCellAnchor>
    <xdr:from>
      <xdr:col>4</xdr:col>
      <xdr:colOff>486465</xdr:colOff>
      <xdr:row>57</xdr:row>
      <xdr:rowOff>158062</xdr:rowOff>
    </xdr:from>
    <xdr:to>
      <xdr:col>5</xdr:col>
      <xdr:colOff>372165</xdr:colOff>
      <xdr:row>59</xdr:row>
      <xdr:rowOff>132522</xdr:rowOff>
    </xdr:to>
    <xdr:sp macro="" textlink="">
      <xdr:nvSpPr>
        <xdr:cNvPr id="40" name="CuadroTexto 39">
          <a:extLst>
            <a:ext uri="{FF2B5EF4-FFF2-40B4-BE49-F238E27FC236}">
              <a16:creationId xmlns:a16="http://schemas.microsoft.com/office/drawing/2014/main" id="{00000000-0008-0000-0400-000028000000}"/>
            </a:ext>
          </a:extLst>
        </xdr:cNvPr>
        <xdr:cNvSpPr txBox="1"/>
      </xdr:nvSpPr>
      <xdr:spPr>
        <a:xfrm>
          <a:off x="3534465" y="11016562"/>
          <a:ext cx="647700" cy="355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a:t>OCV</a:t>
          </a:r>
        </a:p>
        <a:p>
          <a:pPr algn="ctr"/>
          <a:endParaRPr lang="es-ES" sz="1100" b="1"/>
        </a:p>
      </xdr:txBody>
    </xdr:sp>
    <xdr:clientData/>
  </xdr:twoCellAnchor>
  <xdr:twoCellAnchor>
    <xdr:from>
      <xdr:col>4</xdr:col>
      <xdr:colOff>447123</xdr:colOff>
      <xdr:row>55</xdr:row>
      <xdr:rowOff>22225</xdr:rowOff>
    </xdr:from>
    <xdr:to>
      <xdr:col>5</xdr:col>
      <xdr:colOff>456649</xdr:colOff>
      <xdr:row>57</xdr:row>
      <xdr:rowOff>114301</xdr:rowOff>
    </xdr:to>
    <xdr:sp macro="" textlink="">
      <xdr:nvSpPr>
        <xdr:cNvPr id="41" name="CuadroTexto 40">
          <a:extLst>
            <a:ext uri="{FF2B5EF4-FFF2-40B4-BE49-F238E27FC236}">
              <a16:creationId xmlns:a16="http://schemas.microsoft.com/office/drawing/2014/main" id="{00000000-0008-0000-0400-000029000000}"/>
            </a:ext>
          </a:extLst>
        </xdr:cNvPr>
        <xdr:cNvSpPr txBox="1"/>
      </xdr:nvSpPr>
      <xdr:spPr>
        <a:xfrm>
          <a:off x="3495123" y="9737725"/>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synthetic medium</a:t>
          </a:r>
        </a:p>
      </xdr:txBody>
    </xdr:sp>
    <xdr:clientData/>
  </xdr:twoCellAnchor>
  <xdr:twoCellAnchor>
    <xdr:from>
      <xdr:col>0</xdr:col>
      <xdr:colOff>238124</xdr:colOff>
      <xdr:row>68</xdr:row>
      <xdr:rowOff>47625</xdr:rowOff>
    </xdr:from>
    <xdr:to>
      <xdr:col>6</xdr:col>
      <xdr:colOff>546652</xdr:colOff>
      <xdr:row>84</xdr:row>
      <xdr:rowOff>74543</xdr:rowOff>
    </xdr:to>
    <xdr:graphicFrame macro="">
      <xdr:nvGraphicFramePr>
        <xdr:cNvPr id="42" name="Gráfico 41">
          <a:extLst>
            <a:ext uri="{FF2B5EF4-FFF2-40B4-BE49-F238E27FC236}">
              <a16:creationId xmlns:a16="http://schemas.microsoft.com/office/drawing/2014/main" id="{00000000-0008-0000-04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87242</xdr:colOff>
      <xdr:row>81</xdr:row>
      <xdr:rowOff>129899</xdr:rowOff>
    </xdr:from>
    <xdr:to>
      <xdr:col>2</xdr:col>
      <xdr:colOff>744467</xdr:colOff>
      <xdr:row>84</xdr:row>
      <xdr:rowOff>31475</xdr:rowOff>
    </xdr:to>
    <xdr:sp macro="" textlink="">
      <xdr:nvSpPr>
        <xdr:cNvPr id="43" name="CuadroTexto 42">
          <a:extLst>
            <a:ext uri="{FF2B5EF4-FFF2-40B4-BE49-F238E27FC236}">
              <a16:creationId xmlns:a16="http://schemas.microsoft.com/office/drawing/2014/main" id="{00000000-0008-0000-0400-00002B000000}"/>
            </a:ext>
          </a:extLst>
        </xdr:cNvPr>
        <xdr:cNvSpPr txBox="1"/>
      </xdr:nvSpPr>
      <xdr:spPr>
        <a:xfrm>
          <a:off x="1611242" y="14036399"/>
          <a:ext cx="657225" cy="473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a:t>MEC</a:t>
          </a:r>
        </a:p>
        <a:p>
          <a:pPr algn="ctr"/>
          <a:r>
            <a:rPr lang="es-ES" sz="1100" b="1"/>
            <a:t>(+0.2 V)</a:t>
          </a:r>
        </a:p>
      </xdr:txBody>
    </xdr:sp>
    <xdr:clientData/>
  </xdr:twoCellAnchor>
  <xdr:twoCellAnchor>
    <xdr:from>
      <xdr:col>3</xdr:col>
      <xdr:colOff>502617</xdr:colOff>
      <xdr:row>81</xdr:row>
      <xdr:rowOff>103811</xdr:rowOff>
    </xdr:from>
    <xdr:to>
      <xdr:col>4</xdr:col>
      <xdr:colOff>388317</xdr:colOff>
      <xdr:row>83</xdr:row>
      <xdr:rowOff>189537</xdr:rowOff>
    </xdr:to>
    <xdr:sp macro="" textlink="">
      <xdr:nvSpPr>
        <xdr:cNvPr id="44" name="CuadroTexto 43">
          <a:extLst>
            <a:ext uri="{FF2B5EF4-FFF2-40B4-BE49-F238E27FC236}">
              <a16:creationId xmlns:a16="http://schemas.microsoft.com/office/drawing/2014/main" id="{00000000-0008-0000-0400-00002C000000}"/>
            </a:ext>
          </a:extLst>
        </xdr:cNvPr>
        <xdr:cNvSpPr txBox="1"/>
      </xdr:nvSpPr>
      <xdr:spPr>
        <a:xfrm>
          <a:off x="2788617" y="14010311"/>
          <a:ext cx="647700" cy="466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a:t>MFC</a:t>
          </a:r>
        </a:p>
        <a:p>
          <a:pPr algn="ctr"/>
          <a:r>
            <a:rPr lang="es-ES" sz="1100" b="1"/>
            <a:t>(-0.1</a:t>
          </a:r>
          <a:r>
            <a:rPr lang="es-ES" sz="1100" b="1" baseline="0"/>
            <a:t> V)</a:t>
          </a:r>
          <a:endParaRPr lang="es-ES" sz="1100" b="1"/>
        </a:p>
      </xdr:txBody>
    </xdr:sp>
    <xdr:clientData/>
  </xdr:twoCellAnchor>
  <xdr:twoCellAnchor>
    <xdr:from>
      <xdr:col>1</xdr:col>
      <xdr:colOff>494333</xdr:colOff>
      <xdr:row>78</xdr:row>
      <xdr:rowOff>108779</xdr:rowOff>
    </xdr:from>
    <xdr:to>
      <xdr:col>2</xdr:col>
      <xdr:colOff>503859</xdr:colOff>
      <xdr:row>81</xdr:row>
      <xdr:rowOff>10355</xdr:rowOff>
    </xdr:to>
    <xdr:sp macro="" textlink="">
      <xdr:nvSpPr>
        <xdr:cNvPr id="45" name="CuadroTexto 44">
          <a:extLst>
            <a:ext uri="{FF2B5EF4-FFF2-40B4-BE49-F238E27FC236}">
              <a16:creationId xmlns:a16="http://schemas.microsoft.com/office/drawing/2014/main" id="{00000000-0008-0000-0400-00002D000000}"/>
            </a:ext>
          </a:extLst>
        </xdr:cNvPr>
        <xdr:cNvSpPr txBox="1"/>
      </xdr:nvSpPr>
      <xdr:spPr>
        <a:xfrm>
          <a:off x="1256333" y="13443779"/>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synthetic medium</a:t>
          </a:r>
        </a:p>
      </xdr:txBody>
    </xdr:sp>
    <xdr:clientData/>
  </xdr:twoCellAnchor>
  <xdr:twoCellAnchor>
    <xdr:from>
      <xdr:col>2</xdr:col>
      <xdr:colOff>484808</xdr:colOff>
      <xdr:row>78</xdr:row>
      <xdr:rowOff>108778</xdr:rowOff>
    </xdr:from>
    <xdr:to>
      <xdr:col>3</xdr:col>
      <xdr:colOff>494334</xdr:colOff>
      <xdr:row>81</xdr:row>
      <xdr:rowOff>10354</xdr:rowOff>
    </xdr:to>
    <xdr:sp macro="" textlink="">
      <xdr:nvSpPr>
        <xdr:cNvPr id="46" name="CuadroTexto 45">
          <a:extLst>
            <a:ext uri="{FF2B5EF4-FFF2-40B4-BE49-F238E27FC236}">
              <a16:creationId xmlns:a16="http://schemas.microsoft.com/office/drawing/2014/main" id="{00000000-0008-0000-0400-00002E000000}"/>
            </a:ext>
          </a:extLst>
        </xdr:cNvPr>
        <xdr:cNvSpPr txBox="1"/>
      </xdr:nvSpPr>
      <xdr:spPr>
        <a:xfrm>
          <a:off x="2008808" y="13443778"/>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black water</a:t>
          </a:r>
        </a:p>
      </xdr:txBody>
    </xdr:sp>
    <xdr:clientData/>
  </xdr:twoCellAnchor>
  <xdr:twoCellAnchor>
    <xdr:from>
      <xdr:col>1</xdr:col>
      <xdr:colOff>746953</xdr:colOff>
      <xdr:row>80</xdr:row>
      <xdr:rowOff>159834</xdr:rowOff>
    </xdr:from>
    <xdr:to>
      <xdr:col>3</xdr:col>
      <xdr:colOff>86953</xdr:colOff>
      <xdr:row>81</xdr:row>
      <xdr:rowOff>113334</xdr:rowOff>
    </xdr:to>
    <xdr:sp macro="" textlink="">
      <xdr:nvSpPr>
        <xdr:cNvPr id="47" name="Abrir llave 46">
          <a:extLst>
            <a:ext uri="{FF2B5EF4-FFF2-40B4-BE49-F238E27FC236}">
              <a16:creationId xmlns:a16="http://schemas.microsoft.com/office/drawing/2014/main" id="{00000000-0008-0000-0400-00002F000000}"/>
            </a:ext>
          </a:extLst>
        </xdr:cNvPr>
        <xdr:cNvSpPr/>
      </xdr:nvSpPr>
      <xdr:spPr>
        <a:xfrm rot="16200000">
          <a:off x="1868953" y="13515834"/>
          <a:ext cx="144000" cy="864000"/>
        </a:xfrm>
        <a:prstGeom prst="leftBrac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xdr:col>
      <xdr:colOff>479838</xdr:colOff>
      <xdr:row>78</xdr:row>
      <xdr:rowOff>100495</xdr:rowOff>
    </xdr:from>
    <xdr:to>
      <xdr:col>4</xdr:col>
      <xdr:colOff>489364</xdr:colOff>
      <xdr:row>81</xdr:row>
      <xdr:rowOff>2071</xdr:rowOff>
    </xdr:to>
    <xdr:sp macro="" textlink="">
      <xdr:nvSpPr>
        <xdr:cNvPr id="48" name="CuadroTexto 47">
          <a:extLst>
            <a:ext uri="{FF2B5EF4-FFF2-40B4-BE49-F238E27FC236}">
              <a16:creationId xmlns:a16="http://schemas.microsoft.com/office/drawing/2014/main" id="{00000000-0008-0000-0400-000030000000}"/>
            </a:ext>
          </a:extLst>
        </xdr:cNvPr>
        <xdr:cNvSpPr txBox="1"/>
      </xdr:nvSpPr>
      <xdr:spPr>
        <a:xfrm>
          <a:off x="2765838" y="13435495"/>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synthetic medium</a:t>
          </a:r>
        </a:p>
      </xdr:txBody>
    </xdr:sp>
    <xdr:clientData/>
  </xdr:twoCellAnchor>
  <xdr:twoCellAnchor>
    <xdr:from>
      <xdr:col>4</xdr:col>
      <xdr:colOff>610292</xdr:colOff>
      <xdr:row>81</xdr:row>
      <xdr:rowOff>95528</xdr:rowOff>
    </xdr:from>
    <xdr:to>
      <xdr:col>5</xdr:col>
      <xdr:colOff>495992</xdr:colOff>
      <xdr:row>83</xdr:row>
      <xdr:rowOff>181254</xdr:rowOff>
    </xdr:to>
    <xdr:sp macro="" textlink="">
      <xdr:nvSpPr>
        <xdr:cNvPr id="49" name="CuadroTexto 48">
          <a:extLst>
            <a:ext uri="{FF2B5EF4-FFF2-40B4-BE49-F238E27FC236}">
              <a16:creationId xmlns:a16="http://schemas.microsoft.com/office/drawing/2014/main" id="{00000000-0008-0000-0400-000031000000}"/>
            </a:ext>
          </a:extLst>
        </xdr:cNvPr>
        <xdr:cNvSpPr txBox="1"/>
      </xdr:nvSpPr>
      <xdr:spPr>
        <a:xfrm>
          <a:off x="3658292" y="14002028"/>
          <a:ext cx="647700" cy="466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a:t>OCV</a:t>
          </a:r>
        </a:p>
        <a:p>
          <a:pPr algn="ctr"/>
          <a:endParaRPr lang="es-ES" sz="1100" b="1"/>
        </a:p>
      </xdr:txBody>
    </xdr:sp>
    <xdr:clientData/>
  </xdr:twoCellAnchor>
  <xdr:twoCellAnchor>
    <xdr:from>
      <xdr:col>4</xdr:col>
      <xdr:colOff>587513</xdr:colOff>
      <xdr:row>78</xdr:row>
      <xdr:rowOff>92213</xdr:rowOff>
    </xdr:from>
    <xdr:to>
      <xdr:col>5</xdr:col>
      <xdr:colOff>597039</xdr:colOff>
      <xdr:row>80</xdr:row>
      <xdr:rowOff>184289</xdr:rowOff>
    </xdr:to>
    <xdr:sp macro="" textlink="">
      <xdr:nvSpPr>
        <xdr:cNvPr id="50" name="CuadroTexto 49">
          <a:extLst>
            <a:ext uri="{FF2B5EF4-FFF2-40B4-BE49-F238E27FC236}">
              <a16:creationId xmlns:a16="http://schemas.microsoft.com/office/drawing/2014/main" id="{00000000-0008-0000-0400-000032000000}"/>
            </a:ext>
          </a:extLst>
        </xdr:cNvPr>
        <xdr:cNvSpPr txBox="1"/>
      </xdr:nvSpPr>
      <xdr:spPr>
        <a:xfrm>
          <a:off x="3635513" y="13427213"/>
          <a:ext cx="771526" cy="47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synthetic medium</a:t>
          </a:r>
        </a:p>
      </xdr:txBody>
    </xdr:sp>
    <xdr:clientData/>
  </xdr:twoCellAnchor>
</xdr:wsDr>
</file>

<file path=xl/persons/person.xml><?xml version="1.0" encoding="utf-8"?>
<personList xmlns="http://schemas.microsoft.com/office/spreadsheetml/2018/threadedcomments" xmlns:x="http://schemas.openxmlformats.org/spreadsheetml/2006/main">
  <person displayName="Diana Losantos" id="{DFA19279-A5B8-49B1-9A33-BF4D0DD3056C}" userId="S::dlosantos@leitat.org::47d840a3-008e-400e-baaf-2aad4ba3341f"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11" dT="2020-01-21T14:54:09.48" personId="{DFA19279-A5B8-49B1-9A33-BF4D0DD3056C}" id="{BFD4476A-D7E0-4BC6-ADFB-2BC49A01F93F}">
    <text>No es exacto porque no sabemos el nitrógeno total de las muestras intermedias. Sin embargo, viendo el comportamiento para el N-NH4 probablemente no infiera mucho en el resultado</text>
  </threadedComment>
  <threadedComment ref="AM11" dT="2020-01-21T15:00:56.89" personId="{DFA19279-A5B8-49B1-9A33-BF4D0DD3056C}" id="{6618033F-05D2-4B2F-AC03-0596DEAD6824}">
    <text>No es exacto porque el TN no toma en cuenta las muestras intermedias</text>
  </threadedComment>
  <threadedComment ref="H100" dT="2020-02-14T10:20:23.31" personId="{DFA19279-A5B8-49B1-9A33-BF4D0DD3056C}" id="{614E54C1-F29F-4EED-9D0A-FCBB5FC4B0DC}">
    <text>CODf=338 mg/L</text>
  </threadedComment>
  <threadedComment ref="L100" dT="2020-02-13T08:35:01.84" personId="{DFA19279-A5B8-49B1-9A33-BF4D0DD3056C}" id="{21D25558-A2E4-4606-A067-BA6E4BE7453A}">
    <text>Debido a la mayor concentración de la trampa ácida inicial (0,4 M)</text>
  </threadedComment>
  <threadedComment ref="AP100" dT="2020-02-14T10:30:39.28" personId="{DFA19279-A5B8-49B1-9A33-BF4D0DD3056C}" id="{024C585B-42C3-40FC-BB40-D21FFD98B6BD}">
    <text>Probablemente debido a la concentración superior de la trampa ácida, ya que estoy aumentando la capacidad de retención. Sin embargo, ya que estoy viendo voltaje no es tan crítico porque me interesa más el removal</text>
  </threadedComment>
  <threadedComment ref="H104" dT="2020-02-14T10:20:23.31" personId="{DFA19279-A5B8-49B1-9A33-BF4D0DD3056C}" id="{09291DED-E20B-419B-BA1D-142EE3301390}">
    <text>CODf=318 mg/L</text>
  </threadedComment>
  <threadedComment ref="R105" dT="2020-03-06T14:31:51.27" personId="{DFA19279-A5B8-49B1-9A33-BF4D0DD3056C}" id="{6DAB9958-E06D-49F2-AC48-94AE360B628F}">
    <text>Eánodo(OCV)=-0,513 V</text>
  </threadedComment>
  <threadedComment ref="S105" dT="2020-03-06T14:35:14.26" personId="{DFA19279-A5B8-49B1-9A33-BF4D0DD3056C}" id="{5B335010-4C70-4F74-8F81-C03FEC47444E}">
    <text>Ecátodo(OCV)=-LD (-0,0694 medido con ref de la C2)</text>
  </threadedComment>
  <threadedComment ref="S107" dT="2020-03-06T14:39:28.44" personId="{DFA19279-A5B8-49B1-9A33-BF4D0DD3056C}" id="{13E4B3D9-65C0-4CF4-9216-EC249D66841E}">
    <text>Calculado a partir del potencial aplicado</text>
  </threadedComment>
  <threadedComment ref="H109" dT="2020-02-14T10:20:23.31" personId="{DFA19279-A5B8-49B1-9A33-BF4D0DD3056C}" id="{D63DB12F-8E84-43E2-930F-FC8F02743D13}">
    <text>CODf=350 mg/L</text>
  </threadedComment>
</ThreadedComments>
</file>

<file path=xl/threadedComments/threadedComment2.xml><?xml version="1.0" encoding="utf-8"?>
<ThreadedComments xmlns="http://schemas.microsoft.com/office/spreadsheetml/2018/threadedcomments" xmlns:x="http://schemas.openxmlformats.org/spreadsheetml/2006/main">
  <threadedComment ref="AA11" dT="2020-01-21T15:41:16.24" personId="{DFA19279-A5B8-49B1-9A33-BF4D0DD3056C}" id="{4698E1C9-A0C0-4BB1-8DB5-BDA33F366816}">
    <text>No es exacto porque no sabemos el nitrógeno total de las muestras intermedias. Sin embargo, viendo el comportamiento para el N-NH4 probablemente no infiera mucho en el resultado</text>
  </threadedComment>
  <threadedComment ref="H97" dT="2020-02-14T10:48:19.95" personId="{DFA19279-A5B8-49B1-9A33-BF4D0DD3056C}" id="{2F07B990-0B0F-4849-99E3-C953EBA99CE6}">
    <text>CODf=266 mg/L</text>
  </threadedComment>
  <threadedComment ref="L97" dT="2020-02-14T10:47:06.35" personId="{DFA19279-A5B8-49B1-9A33-BF4D0DD3056C}" id="{895474D1-9F30-4FF9-B7C8-674DF289AE5F}">
    <text>Debido a la mayor concentración de la trampa ácida inicial (0,4 M)</text>
  </threadedComment>
  <threadedComment ref="H101" dT="2020-02-14T10:48:19.95" personId="{DFA19279-A5B8-49B1-9A33-BF4D0DD3056C}" id="{D76CBD25-C346-4C65-ACAA-FA101940FE66}">
    <text>CODf=332 mg/L</text>
  </threadedComment>
  <threadedComment ref="R102" dT="2020-03-06T14:31:51.27" personId="{DFA19279-A5B8-49B1-9A33-BF4D0DD3056C}" id="{A974C49C-F6D6-4A30-A25E-284C99C94651}">
    <text>Eánodo(OCV)=-0,503 V</text>
  </threadedComment>
  <threadedComment ref="S102" dT="2020-03-06T14:35:14.26" personId="{DFA19279-A5B8-49B1-9A33-BF4D0DD3056C}" id="{0DB50198-4D6B-4D4F-8A4D-351B25EECB38}">
    <text>Ecátodo(OCV)=-0,068</text>
  </threadedComment>
  <threadedComment ref="S104" dT="2020-03-06T14:39:28.44" personId="{DFA19279-A5B8-49B1-9A33-BF4D0DD3056C}" id="{EAE37AEE-1E27-44B4-947F-94C89F72452D}">
    <text>Calculado a partir del potencial aplicado</text>
  </threadedComment>
  <threadedComment ref="H106" dT="2020-02-14T10:20:23.31" personId="{DFA19279-A5B8-49B1-9A33-BF4D0DD3056C}" id="{82C58F3F-8BFD-4A26-80DE-622D7BB48307}">
    <text>CODf=322 mg/L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X110"/>
  <sheetViews>
    <sheetView zoomScale="40" zoomScaleNormal="40" workbookViewId="0">
      <pane xSplit="2" ySplit="13" topLeftCell="C14" activePane="bottomRight" state="frozen"/>
      <selection pane="topRight" activeCell="C1" sqref="C1"/>
      <selection pane="bottomLeft" activeCell="A13" sqref="A13"/>
      <selection pane="bottomRight" activeCell="AA109" sqref="AA109"/>
    </sheetView>
  </sheetViews>
  <sheetFormatPr baseColWidth="10" defaultRowHeight="14.4" x14ac:dyDescent="0.3"/>
  <cols>
    <col min="3" max="3" width="9.88671875" customWidth="1"/>
    <col min="4" max="4" width="9.44140625" bestFit="1" customWidth="1"/>
    <col min="5" max="5" width="7.88671875" bestFit="1" customWidth="1"/>
    <col min="6" max="6" width="7.88671875" customWidth="1"/>
    <col min="7" max="7" width="8.109375" bestFit="1" customWidth="1"/>
    <col min="9" max="10" width="7.6640625" customWidth="1"/>
    <col min="11" max="11" width="7.88671875" bestFit="1" customWidth="1"/>
    <col min="12" max="12" width="7.6640625" bestFit="1" customWidth="1"/>
    <col min="13" max="13" width="7.6640625" customWidth="1"/>
    <col min="14" max="14" width="7.88671875" bestFit="1" customWidth="1"/>
    <col min="15" max="15" width="7.6640625" bestFit="1" customWidth="1"/>
    <col min="16" max="16" width="7.6640625" customWidth="1"/>
    <col min="17" max="17" width="7.88671875" bestFit="1" customWidth="1"/>
    <col min="18" max="21" width="12.88671875" customWidth="1"/>
    <col min="22" max="22" width="17.109375" customWidth="1"/>
    <col min="23" max="23" width="56" customWidth="1"/>
    <col min="24" max="25" width="10" customWidth="1"/>
    <col min="26" max="43" width="11.44140625" customWidth="1"/>
    <col min="44" max="47" width="14.33203125" customWidth="1"/>
    <col min="48" max="48" width="10.109375" customWidth="1"/>
  </cols>
  <sheetData>
    <row r="1" spans="1:50" ht="15.6" x14ac:dyDescent="0.35">
      <c r="A1" s="1" t="s">
        <v>35</v>
      </c>
      <c r="I1" t="s">
        <v>33</v>
      </c>
      <c r="S1" s="248" t="s">
        <v>91</v>
      </c>
      <c r="T1">
        <f>1750/2.5*(3)</f>
        <v>2100</v>
      </c>
      <c r="U1">
        <v>3000</v>
      </c>
      <c r="AJ1" s="1"/>
      <c r="AK1" s="1"/>
      <c r="AL1" s="1"/>
      <c r="AP1" s="250"/>
      <c r="AQ1" s="250"/>
      <c r="AR1" s="250"/>
      <c r="AS1" s="250"/>
      <c r="AT1" s="250"/>
      <c r="AU1" s="250"/>
    </row>
    <row r="2" spans="1:50" ht="16.2" thickBot="1" x14ac:dyDescent="0.4">
      <c r="A2" t="s">
        <v>17</v>
      </c>
      <c r="C2" t="s">
        <v>53</v>
      </c>
      <c r="I2" t="s">
        <v>32</v>
      </c>
      <c r="K2" t="s">
        <v>34</v>
      </c>
      <c r="S2" s="248" t="s">
        <v>88</v>
      </c>
      <c r="T2">
        <f>1750/2.5*(4)</f>
        <v>2800</v>
      </c>
      <c r="U2">
        <v>4000</v>
      </c>
      <c r="AJ2" s="1"/>
      <c r="AK2" s="1"/>
      <c r="AL2" s="1"/>
      <c r="AP2" s="250"/>
      <c r="AQ2" s="250"/>
      <c r="AR2" s="250"/>
      <c r="AS2" s="250"/>
      <c r="AT2" s="250"/>
      <c r="AU2" s="250"/>
    </row>
    <row r="3" spans="1:50" ht="16.2" thickBot="1" x14ac:dyDescent="0.4">
      <c r="A3" t="s">
        <v>18</v>
      </c>
      <c r="C3">
        <v>500</v>
      </c>
      <c r="D3" t="s">
        <v>20</v>
      </c>
      <c r="I3" s="644"/>
      <c r="K3" s="1089" t="s">
        <v>134</v>
      </c>
      <c r="L3" s="1089"/>
      <c r="M3" s="1089"/>
      <c r="S3" s="248" t="s">
        <v>104</v>
      </c>
      <c r="T3">
        <f>1750/2.5*(5)</f>
        <v>3500</v>
      </c>
      <c r="U3">
        <v>5000</v>
      </c>
      <c r="AP3" s="251"/>
      <c r="AQ3" s="251"/>
      <c r="AR3" s="251"/>
      <c r="AS3" s="251"/>
      <c r="AT3" s="255"/>
      <c r="AU3" s="255"/>
      <c r="AV3" s="598" t="s">
        <v>131</v>
      </c>
      <c r="AW3" s="599" t="s">
        <v>132</v>
      </c>
    </row>
    <row r="4" spans="1:50" ht="15" thickTop="1" x14ac:dyDescent="0.3">
      <c r="A4" t="s">
        <v>19</v>
      </c>
      <c r="C4">
        <v>400</v>
      </c>
      <c r="D4" t="s">
        <v>20</v>
      </c>
      <c r="K4" s="1089"/>
      <c r="L4" s="1089"/>
      <c r="M4" s="1089"/>
      <c r="AP4" s="251"/>
      <c r="AQ4" s="251"/>
      <c r="AR4" s="68"/>
      <c r="AS4" s="68"/>
      <c r="AT4" s="68"/>
      <c r="AU4" s="68"/>
      <c r="AV4" s="551" t="s">
        <v>128</v>
      </c>
      <c r="AW4" s="603">
        <v>-1.8475885553137821E-2</v>
      </c>
      <c r="AX4" s="266"/>
    </row>
    <row r="5" spans="1:50" x14ac:dyDescent="0.3">
      <c r="A5" t="s">
        <v>24</v>
      </c>
      <c r="C5">
        <v>150</v>
      </c>
      <c r="D5" t="s">
        <v>23</v>
      </c>
      <c r="O5" s="311" t="s">
        <v>98</v>
      </c>
      <c r="P5" s="311"/>
      <c r="Q5" s="311"/>
      <c r="S5" s="448" t="s">
        <v>113</v>
      </c>
      <c r="T5" s="448"/>
      <c r="U5" s="538">
        <f>SLOPE(T1:T3,U1:U3)</f>
        <v>0.7</v>
      </c>
      <c r="V5" t="s">
        <v>111</v>
      </c>
      <c r="AJ5" s="265"/>
      <c r="AP5" s="250"/>
      <c r="AQ5" s="250"/>
      <c r="AR5" s="250"/>
      <c r="AS5" s="250"/>
      <c r="AT5" s="250"/>
      <c r="AU5" s="250"/>
      <c r="AV5" s="551" t="s">
        <v>129</v>
      </c>
      <c r="AW5" s="603">
        <v>-2.1671076736272069E-2</v>
      </c>
    </row>
    <row r="6" spans="1:50" ht="15" thickBot="1" x14ac:dyDescent="0.35">
      <c r="A6" t="s">
        <v>28</v>
      </c>
      <c r="C6" t="s">
        <v>29</v>
      </c>
      <c r="I6" s="643"/>
      <c r="K6" s="1089" t="s">
        <v>135</v>
      </c>
      <c r="L6" s="1089"/>
      <c r="M6" s="1089"/>
      <c r="AP6" s="253"/>
      <c r="AQ6" s="253"/>
      <c r="AR6" s="253"/>
      <c r="AS6" s="253"/>
      <c r="AT6" s="255"/>
      <c r="AU6" s="255"/>
      <c r="AV6" s="551" t="s">
        <v>93</v>
      </c>
      <c r="AW6" s="603">
        <v>-3.8752195652980034E-2</v>
      </c>
      <c r="AX6" s="266"/>
    </row>
    <row r="7" spans="1:50" ht="15.6" thickTop="1" thickBot="1" x14ac:dyDescent="0.35">
      <c r="A7" t="s">
        <v>54</v>
      </c>
      <c r="C7" t="s">
        <v>53</v>
      </c>
      <c r="K7" s="1089"/>
      <c r="L7" s="1089"/>
      <c r="M7" s="1089"/>
      <c r="O7" s="288" t="s">
        <v>99</v>
      </c>
      <c r="P7" s="288"/>
      <c r="Q7" s="288"/>
      <c r="S7" s="565" t="s">
        <v>114</v>
      </c>
      <c r="T7" s="565"/>
      <c r="AP7" s="251"/>
      <c r="AQ7" s="251"/>
      <c r="AR7" s="68"/>
      <c r="AS7" s="68"/>
      <c r="AT7" s="68"/>
      <c r="AU7" s="68"/>
      <c r="AV7" s="600" t="s">
        <v>130</v>
      </c>
      <c r="AW7" s="604">
        <v>-3.9807454759226001E-2</v>
      </c>
    </row>
    <row r="8" spans="1:50" ht="15" thickBot="1" x14ac:dyDescent="0.35"/>
    <row r="9" spans="1:50" ht="15" thickBot="1" x14ac:dyDescent="0.35">
      <c r="Y9" s="1114" t="s">
        <v>69</v>
      </c>
      <c r="Z9" s="1115"/>
      <c r="AA9" s="1115"/>
      <c r="AB9" s="1115"/>
      <c r="AC9" s="1115"/>
      <c r="AD9" s="1115"/>
      <c r="AE9" s="1115"/>
      <c r="AF9" s="1115"/>
      <c r="AG9" s="1115"/>
      <c r="AH9" s="1115"/>
      <c r="AI9" s="1115"/>
      <c r="AJ9" s="1115"/>
      <c r="AK9" s="1115"/>
      <c r="AL9" s="1115"/>
      <c r="AM9" s="1115"/>
      <c r="AN9" s="1115"/>
      <c r="AO9" s="1115"/>
      <c r="AP9" s="1115"/>
      <c r="AQ9" s="1115"/>
      <c r="AR9" s="1115"/>
      <c r="AS9" s="1115"/>
      <c r="AT9" s="1102" t="s">
        <v>138</v>
      </c>
      <c r="AU9" s="1103"/>
    </row>
    <row r="10" spans="1:50" ht="15" thickBot="1" x14ac:dyDescent="0.35">
      <c r="A10" s="1096" t="s">
        <v>8</v>
      </c>
      <c r="B10" s="1097"/>
      <c r="C10" s="1096" t="s">
        <v>9</v>
      </c>
      <c r="D10" s="1100"/>
      <c r="E10" s="1100"/>
      <c r="F10" s="1101"/>
      <c r="G10" s="1097"/>
      <c r="H10" s="1111" t="s">
        <v>10</v>
      </c>
      <c r="I10" s="1112"/>
      <c r="J10" s="1110"/>
      <c r="K10" s="1113"/>
      <c r="L10" s="1108" t="s">
        <v>11</v>
      </c>
      <c r="M10" s="1109"/>
      <c r="N10" s="1110"/>
      <c r="O10" s="1108" t="s">
        <v>12</v>
      </c>
      <c r="P10" s="1109"/>
      <c r="Q10" s="1110"/>
      <c r="R10" s="1126" t="s">
        <v>16</v>
      </c>
      <c r="S10" s="1109"/>
      <c r="T10" s="1109"/>
      <c r="U10" s="1127"/>
      <c r="V10" s="620" t="s">
        <v>21</v>
      </c>
      <c r="W10" s="1106" t="s">
        <v>31</v>
      </c>
      <c r="X10" s="40"/>
      <c r="Y10" s="1121" t="s">
        <v>72</v>
      </c>
      <c r="Z10" s="1119"/>
      <c r="AA10" s="1122"/>
      <c r="AB10" s="1121" t="s">
        <v>71</v>
      </c>
      <c r="AC10" s="1119"/>
      <c r="AD10" s="1119"/>
      <c r="AE10" s="1118" t="s">
        <v>70</v>
      </c>
      <c r="AF10" s="1119"/>
      <c r="AG10" s="1119"/>
      <c r="AH10" s="1119"/>
      <c r="AI10" s="1120"/>
      <c r="AJ10" s="1116" t="s">
        <v>87</v>
      </c>
      <c r="AK10" s="1117"/>
      <c r="AL10" s="1117"/>
      <c r="AM10" s="1117"/>
      <c r="AN10" s="1117"/>
      <c r="AO10" s="1117"/>
      <c r="AP10" s="1117"/>
      <c r="AQ10" s="1117"/>
      <c r="AR10" s="1117"/>
      <c r="AS10" s="1117"/>
      <c r="AT10" s="1104"/>
      <c r="AU10" s="1105"/>
    </row>
    <row r="11" spans="1:50" ht="44.4" x14ac:dyDescent="0.3">
      <c r="A11" s="1098" t="s">
        <v>0</v>
      </c>
      <c r="B11" s="1138" t="s">
        <v>1</v>
      </c>
      <c r="C11" s="712" t="s">
        <v>2</v>
      </c>
      <c r="D11" s="3" t="s">
        <v>3</v>
      </c>
      <c r="E11" s="3" t="s">
        <v>5</v>
      </c>
      <c r="F11" s="5" t="s">
        <v>58</v>
      </c>
      <c r="G11" s="713" t="s">
        <v>127</v>
      </c>
      <c r="H11" s="719" t="s">
        <v>2</v>
      </c>
      <c r="I11" s="720" t="s">
        <v>3</v>
      </c>
      <c r="J11" s="720" t="s">
        <v>5</v>
      </c>
      <c r="K11" s="721" t="s">
        <v>58</v>
      </c>
      <c r="L11" s="719" t="s">
        <v>3</v>
      </c>
      <c r="M11" s="720" t="s">
        <v>5</v>
      </c>
      <c r="N11" s="721" t="s">
        <v>58</v>
      </c>
      <c r="O11" s="719" t="s">
        <v>3</v>
      </c>
      <c r="P11" s="720" t="s">
        <v>5</v>
      </c>
      <c r="Q11" s="721" t="s">
        <v>58</v>
      </c>
      <c r="R11" s="719" t="s">
        <v>13</v>
      </c>
      <c r="S11" s="720" t="s">
        <v>14</v>
      </c>
      <c r="T11" s="723" t="s">
        <v>50</v>
      </c>
      <c r="U11" s="721" t="s">
        <v>108</v>
      </c>
      <c r="V11" s="725" t="s">
        <v>22</v>
      </c>
      <c r="W11" s="1107"/>
      <c r="X11" s="40"/>
      <c r="Y11" s="200" t="s">
        <v>63</v>
      </c>
      <c r="Z11" s="199" t="s">
        <v>67</v>
      </c>
      <c r="AA11" s="201" t="s">
        <v>58</v>
      </c>
      <c r="AB11" s="200" t="s">
        <v>64</v>
      </c>
      <c r="AC11" s="199" t="s">
        <v>68</v>
      </c>
      <c r="AD11" s="735" t="s">
        <v>73</v>
      </c>
      <c r="AE11" s="754" t="s">
        <v>65</v>
      </c>
      <c r="AF11" s="199" t="s">
        <v>74</v>
      </c>
      <c r="AG11" s="199" t="s">
        <v>77</v>
      </c>
      <c r="AH11" s="199" t="s">
        <v>75</v>
      </c>
      <c r="AI11" s="735" t="s">
        <v>78</v>
      </c>
      <c r="AJ11" s="827" t="s">
        <v>76</v>
      </c>
      <c r="AK11" s="828" t="s">
        <v>58</v>
      </c>
      <c r="AL11" s="829" t="s">
        <v>84</v>
      </c>
      <c r="AM11" s="828" t="s">
        <v>85</v>
      </c>
      <c r="AN11" s="829" t="s">
        <v>106</v>
      </c>
      <c r="AO11" s="830" t="s">
        <v>81</v>
      </c>
      <c r="AP11" s="830" t="s">
        <v>81</v>
      </c>
      <c r="AQ11" s="830" t="s">
        <v>80</v>
      </c>
      <c r="AR11" s="830" t="s">
        <v>80</v>
      </c>
      <c r="AS11" s="831" t="s">
        <v>141</v>
      </c>
      <c r="AT11" s="904" t="s">
        <v>109</v>
      </c>
      <c r="AU11" s="905" t="s">
        <v>110</v>
      </c>
      <c r="AV11" s="601"/>
    </row>
    <row r="12" spans="1:50" ht="16.8" thickBot="1" x14ac:dyDescent="0.35">
      <c r="A12" s="1099"/>
      <c r="B12" s="1139"/>
      <c r="C12" s="717" t="s">
        <v>26</v>
      </c>
      <c r="D12" s="715" t="s">
        <v>4</v>
      </c>
      <c r="E12" s="715" t="s">
        <v>7</v>
      </c>
      <c r="F12" s="715" t="s">
        <v>7</v>
      </c>
      <c r="G12" s="716" t="s">
        <v>7</v>
      </c>
      <c r="H12" s="714"/>
      <c r="I12" s="715" t="s">
        <v>4</v>
      </c>
      <c r="J12" s="715" t="s">
        <v>7</v>
      </c>
      <c r="K12" s="716" t="s">
        <v>7</v>
      </c>
      <c r="L12" s="722" t="s">
        <v>4</v>
      </c>
      <c r="M12" s="715" t="s">
        <v>7</v>
      </c>
      <c r="N12" s="716" t="s">
        <v>7</v>
      </c>
      <c r="O12" s="722" t="s">
        <v>4</v>
      </c>
      <c r="P12" s="715" t="s">
        <v>7</v>
      </c>
      <c r="Q12" s="716" t="s">
        <v>7</v>
      </c>
      <c r="R12" s="722" t="s">
        <v>15</v>
      </c>
      <c r="S12" s="715" t="s">
        <v>15</v>
      </c>
      <c r="T12" s="724" t="s">
        <v>51</v>
      </c>
      <c r="U12" s="716" t="s">
        <v>25</v>
      </c>
      <c r="V12" s="726" t="s">
        <v>23</v>
      </c>
      <c r="W12" s="1105"/>
      <c r="X12" s="40"/>
      <c r="Y12" s="202" t="s">
        <v>66</v>
      </c>
      <c r="Z12" s="203" t="s">
        <v>62</v>
      </c>
      <c r="AA12" s="204" t="s">
        <v>62</v>
      </c>
      <c r="AB12" s="202" t="s">
        <v>66</v>
      </c>
      <c r="AC12" s="203" t="s">
        <v>62</v>
      </c>
      <c r="AD12" s="429" t="s">
        <v>62</v>
      </c>
      <c r="AE12" s="756" t="s">
        <v>66</v>
      </c>
      <c r="AF12" s="757" t="s">
        <v>62</v>
      </c>
      <c r="AG12" s="757" t="s">
        <v>62</v>
      </c>
      <c r="AH12" s="757" t="s">
        <v>62</v>
      </c>
      <c r="AI12" s="825" t="s">
        <v>62</v>
      </c>
      <c r="AJ12" s="832" t="s">
        <v>62</v>
      </c>
      <c r="AK12" s="833" t="s">
        <v>62</v>
      </c>
      <c r="AL12" s="833" t="s">
        <v>62</v>
      </c>
      <c r="AM12" s="833" t="s">
        <v>62</v>
      </c>
      <c r="AN12" s="833" t="s">
        <v>62</v>
      </c>
      <c r="AO12" s="833" t="s">
        <v>107</v>
      </c>
      <c r="AP12" s="203" t="s">
        <v>79</v>
      </c>
      <c r="AQ12" s="203" t="s">
        <v>107</v>
      </c>
      <c r="AR12" s="203" t="s">
        <v>7</v>
      </c>
      <c r="AS12" s="204" t="s">
        <v>79</v>
      </c>
      <c r="AT12" s="906" t="s">
        <v>133</v>
      </c>
      <c r="AU12" s="907" t="s">
        <v>89</v>
      </c>
    </row>
    <row r="13" spans="1:50" s="55" customFormat="1" ht="15" hidden="1" thickBot="1" x14ac:dyDescent="0.35">
      <c r="A13" s="63">
        <v>1</v>
      </c>
      <c r="B13" s="64"/>
      <c r="C13" s="65" t="s">
        <v>27</v>
      </c>
      <c r="D13" s="66"/>
      <c r="E13" s="66"/>
      <c r="F13" s="66"/>
      <c r="G13" s="66"/>
      <c r="H13" s="65"/>
      <c r="I13" s="66"/>
      <c r="J13" s="66"/>
      <c r="K13" s="69"/>
      <c r="L13" s="65"/>
      <c r="M13" s="66"/>
      <c r="N13" s="66"/>
      <c r="O13" s="65"/>
      <c r="P13" s="66"/>
      <c r="Q13" s="66"/>
      <c r="R13" s="65"/>
      <c r="S13" s="66"/>
      <c r="T13" s="272"/>
      <c r="U13" s="236"/>
      <c r="V13" s="73"/>
      <c r="W13" s="67" t="s">
        <v>36</v>
      </c>
      <c r="X13" s="68"/>
      <c r="Y13" s="77"/>
      <c r="Z13" s="205"/>
      <c r="AA13" s="76"/>
      <c r="AB13" s="209"/>
      <c r="AC13" s="206"/>
      <c r="AD13" s="207"/>
      <c r="AE13" s="77"/>
      <c r="AF13" s="752"/>
      <c r="AG13" s="752"/>
      <c r="AH13" s="753"/>
      <c r="AI13" s="736"/>
      <c r="AJ13" s="758"/>
      <c r="AK13" s="758"/>
      <c r="AL13" s="758"/>
      <c r="AM13" s="759"/>
      <c r="AN13" s="760"/>
      <c r="AO13" s="760"/>
      <c r="AP13" s="761"/>
      <c r="AQ13" s="762"/>
      <c r="AR13" s="761"/>
      <c r="AS13" s="815"/>
      <c r="AT13" s="764"/>
      <c r="AU13" s="765"/>
    </row>
    <row r="14" spans="1:50" ht="15.6" hidden="1" thickTop="1" thickBot="1" x14ac:dyDescent="0.35">
      <c r="A14" s="1131">
        <v>2</v>
      </c>
      <c r="B14" s="39">
        <v>0</v>
      </c>
      <c r="C14" s="37">
        <v>7.29</v>
      </c>
      <c r="D14" s="38">
        <v>54.2</v>
      </c>
      <c r="E14" s="38">
        <v>4980</v>
      </c>
      <c r="F14" s="56" t="s">
        <v>26</v>
      </c>
      <c r="G14" s="56">
        <v>1990</v>
      </c>
      <c r="H14" s="37"/>
      <c r="I14" s="38"/>
      <c r="J14" s="56"/>
      <c r="K14" s="39" t="s">
        <v>26</v>
      </c>
      <c r="L14" s="37"/>
      <c r="M14" s="192"/>
      <c r="N14" s="39" t="s">
        <v>26</v>
      </c>
      <c r="O14" s="37"/>
      <c r="P14" s="192"/>
      <c r="Q14" s="39" t="s">
        <v>26</v>
      </c>
      <c r="R14" s="170"/>
      <c r="S14" s="171"/>
      <c r="T14" s="273"/>
      <c r="U14" s="56">
        <v>20</v>
      </c>
      <c r="V14" s="1134">
        <v>47</v>
      </c>
      <c r="W14" s="46" t="s">
        <v>36</v>
      </c>
      <c r="X14" s="68"/>
      <c r="Y14" s="328">
        <v>0.5</v>
      </c>
      <c r="Z14" s="323">
        <f t="shared" ref="Z14:Z20" si="0">$Y14*E14</f>
        <v>2490</v>
      </c>
      <c r="AA14" s="323" t="s">
        <v>26</v>
      </c>
      <c r="AB14" s="328">
        <v>0.5</v>
      </c>
      <c r="AC14" s="323">
        <f t="shared" ref="AC14:AC20" si="1">$AB14*J14</f>
        <v>0</v>
      </c>
      <c r="AD14" s="323" t="s">
        <v>26</v>
      </c>
      <c r="AE14" s="328">
        <v>0.4</v>
      </c>
      <c r="AF14" s="323">
        <f t="shared" ref="AF14:AF20" si="2">$AE14*M14</f>
        <v>0</v>
      </c>
      <c r="AG14" s="323" t="s">
        <v>26</v>
      </c>
      <c r="AH14" s="329">
        <v>0</v>
      </c>
      <c r="AI14" s="237" t="s">
        <v>26</v>
      </c>
      <c r="AJ14" s="744">
        <f>Z14+AC14+AF14+AH14</f>
        <v>2490</v>
      </c>
      <c r="AK14" s="745" t="s">
        <v>26</v>
      </c>
      <c r="AL14" s="745">
        <f t="shared" ref="AL14:AL20" si="3">AJ14-$AJ$14</f>
        <v>0</v>
      </c>
      <c r="AM14" s="745" t="s">
        <v>26</v>
      </c>
      <c r="AN14" s="745"/>
      <c r="AO14" s="745"/>
      <c r="AP14" s="731"/>
      <c r="AQ14" s="731"/>
      <c r="AR14" s="731"/>
      <c r="AS14" s="740"/>
      <c r="AT14" s="740"/>
      <c r="AU14" s="732"/>
    </row>
    <row r="15" spans="1:50" ht="15" hidden="1" thickBot="1" x14ac:dyDescent="0.35">
      <c r="A15" s="1091"/>
      <c r="B15" s="10">
        <v>24</v>
      </c>
      <c r="C15" s="15">
        <v>7.72</v>
      </c>
      <c r="D15" s="4">
        <v>38.6</v>
      </c>
      <c r="E15" s="4">
        <v>3475</v>
      </c>
      <c r="F15" s="6" t="s">
        <v>26</v>
      </c>
      <c r="G15" s="6">
        <v>1840</v>
      </c>
      <c r="H15" s="15">
        <v>9.23</v>
      </c>
      <c r="I15" s="4">
        <v>37.9</v>
      </c>
      <c r="J15" s="6">
        <v>912</v>
      </c>
      <c r="K15" s="10" t="s">
        <v>26</v>
      </c>
      <c r="L15" s="15">
        <v>50.3</v>
      </c>
      <c r="M15" s="118">
        <v>29.4</v>
      </c>
      <c r="N15" s="10" t="s">
        <v>26</v>
      </c>
      <c r="O15" s="15">
        <v>50.5</v>
      </c>
      <c r="P15" s="118">
        <v>6.19</v>
      </c>
      <c r="Q15" s="10" t="s">
        <v>26</v>
      </c>
      <c r="R15" s="172">
        <v>0.82</v>
      </c>
      <c r="S15" s="173">
        <v>-0.48</v>
      </c>
      <c r="T15" s="273"/>
      <c r="U15" s="56">
        <v>20</v>
      </c>
      <c r="V15" s="1124"/>
      <c r="W15" s="24"/>
      <c r="X15" s="68"/>
      <c r="Y15" s="220">
        <v>0.5</v>
      </c>
      <c r="Z15" s="138">
        <f t="shared" si="0"/>
        <v>1737.5</v>
      </c>
      <c r="AA15" s="10" t="s">
        <v>26</v>
      </c>
      <c r="AB15" s="220">
        <v>0.5</v>
      </c>
      <c r="AC15" s="138">
        <f t="shared" si="1"/>
        <v>456</v>
      </c>
      <c r="AD15" s="138" t="s">
        <v>26</v>
      </c>
      <c r="AE15" s="220">
        <v>0.4</v>
      </c>
      <c r="AF15" s="138">
        <f t="shared" si="2"/>
        <v>11.76</v>
      </c>
      <c r="AG15" s="138" t="s">
        <v>26</v>
      </c>
      <c r="AH15" s="332" t="s">
        <v>26</v>
      </c>
      <c r="AI15" s="6" t="s">
        <v>26</v>
      </c>
      <c r="AJ15" s="744">
        <f t="shared" ref="AJ15:AJ20" si="4">Z15+AC15+AF15</f>
        <v>2205.2600000000002</v>
      </c>
      <c r="AK15" s="744" t="s">
        <v>26</v>
      </c>
      <c r="AL15" s="745">
        <f t="shared" si="3"/>
        <v>-284.73999999999978</v>
      </c>
      <c r="AM15" s="746" t="s">
        <v>26</v>
      </c>
      <c r="AN15" s="745"/>
      <c r="AO15" s="745"/>
      <c r="AP15" s="731"/>
      <c r="AQ15" s="731"/>
      <c r="AR15" s="731"/>
      <c r="AS15" s="740"/>
      <c r="AT15" s="740"/>
      <c r="AU15" s="731"/>
    </row>
    <row r="16" spans="1:50" ht="15" hidden="1" thickBot="1" x14ac:dyDescent="0.35">
      <c r="A16" s="1091"/>
      <c r="B16" s="25">
        <v>39.5</v>
      </c>
      <c r="C16" s="16">
        <v>6.47</v>
      </c>
      <c r="D16" s="9">
        <v>44.1</v>
      </c>
      <c r="E16" s="91">
        <v>2720</v>
      </c>
      <c r="F16" s="93" t="s">
        <v>26</v>
      </c>
      <c r="G16" s="8">
        <v>1543</v>
      </c>
      <c r="H16" s="18">
        <v>9.4700000000000006</v>
      </c>
      <c r="I16" s="9">
        <v>40.799999999999997</v>
      </c>
      <c r="J16" s="193">
        <v>2120</v>
      </c>
      <c r="K16" s="92" t="s">
        <v>26</v>
      </c>
      <c r="L16" s="18">
        <v>56.6</v>
      </c>
      <c r="M16" s="193">
        <v>92.8</v>
      </c>
      <c r="N16" s="92" t="s">
        <v>26</v>
      </c>
      <c r="O16" s="18">
        <v>52.2</v>
      </c>
      <c r="P16" s="193" t="s">
        <v>30</v>
      </c>
      <c r="Q16" s="92" t="s">
        <v>26</v>
      </c>
      <c r="R16" s="172">
        <v>0.94</v>
      </c>
      <c r="S16" s="173">
        <v>-0.44</v>
      </c>
      <c r="T16" s="273"/>
      <c r="U16" s="56">
        <v>20</v>
      </c>
      <c r="V16" s="1124"/>
      <c r="W16" s="24"/>
      <c r="X16" s="68"/>
      <c r="Y16" s="220">
        <v>0.5</v>
      </c>
      <c r="Z16" s="138">
        <f t="shared" si="0"/>
        <v>1360</v>
      </c>
      <c r="AA16" s="10" t="s">
        <v>26</v>
      </c>
      <c r="AB16" s="220">
        <v>0.5</v>
      </c>
      <c r="AC16" s="138">
        <f t="shared" si="1"/>
        <v>1060</v>
      </c>
      <c r="AD16" s="138" t="s">
        <v>26</v>
      </c>
      <c r="AE16" s="220">
        <v>0.4</v>
      </c>
      <c r="AF16" s="138">
        <f t="shared" si="2"/>
        <v>37.119999999999997</v>
      </c>
      <c r="AG16" s="138" t="s">
        <v>26</v>
      </c>
      <c r="AH16" s="332" t="s">
        <v>26</v>
      </c>
      <c r="AI16" s="6" t="s">
        <v>26</v>
      </c>
      <c r="AJ16" s="744">
        <f t="shared" si="4"/>
        <v>2457.12</v>
      </c>
      <c r="AK16" s="744" t="s">
        <v>26</v>
      </c>
      <c r="AL16" s="745">
        <f t="shared" si="3"/>
        <v>-32.880000000000109</v>
      </c>
      <c r="AM16" s="747" t="s">
        <v>26</v>
      </c>
      <c r="AN16" s="745"/>
      <c r="AO16" s="745"/>
      <c r="AP16" s="731"/>
      <c r="AQ16" s="731"/>
      <c r="AR16" s="731"/>
      <c r="AS16" s="740"/>
      <c r="AT16" s="740"/>
      <c r="AU16" s="731"/>
    </row>
    <row r="17" spans="1:47" ht="15" hidden="1" thickBot="1" x14ac:dyDescent="0.35">
      <c r="A17" s="1091"/>
      <c r="B17" s="10">
        <v>120</v>
      </c>
      <c r="C17" s="26">
        <v>4.3600000000000003</v>
      </c>
      <c r="D17" s="9">
        <v>35.5</v>
      </c>
      <c r="E17" s="4">
        <f>18.8*100</f>
        <v>1880</v>
      </c>
      <c r="F17" s="6" t="s">
        <v>26</v>
      </c>
      <c r="G17" s="21">
        <f>149*10</f>
        <v>1490</v>
      </c>
      <c r="H17" s="18">
        <v>9.81</v>
      </c>
      <c r="I17" s="9">
        <v>36.200000000000003</v>
      </c>
      <c r="J17" s="193">
        <v>2050</v>
      </c>
      <c r="K17" s="17" t="s">
        <v>26</v>
      </c>
      <c r="L17" s="18">
        <v>41.8</v>
      </c>
      <c r="M17" s="193">
        <v>465.00000000000006</v>
      </c>
      <c r="N17" s="17" t="s">
        <v>26</v>
      </c>
      <c r="O17" s="18">
        <v>53.2</v>
      </c>
      <c r="P17" s="193" t="s">
        <v>30</v>
      </c>
      <c r="Q17" s="17" t="s">
        <v>26</v>
      </c>
      <c r="R17" s="172">
        <v>1.56</v>
      </c>
      <c r="S17" s="173">
        <v>-0.31</v>
      </c>
      <c r="T17" s="273"/>
      <c r="U17" s="56">
        <v>20</v>
      </c>
      <c r="V17" s="1124"/>
      <c r="W17" s="24"/>
      <c r="X17" s="78"/>
      <c r="Y17" s="220">
        <v>0.5</v>
      </c>
      <c r="Z17" s="138">
        <f t="shared" si="0"/>
        <v>940</v>
      </c>
      <c r="AA17" s="10" t="s">
        <v>26</v>
      </c>
      <c r="AB17" s="220">
        <v>0.5</v>
      </c>
      <c r="AC17" s="138">
        <f t="shared" si="1"/>
        <v>1025</v>
      </c>
      <c r="AD17" s="138" t="s">
        <v>26</v>
      </c>
      <c r="AE17" s="220">
        <v>0.4</v>
      </c>
      <c r="AF17" s="138">
        <f t="shared" si="2"/>
        <v>186.00000000000003</v>
      </c>
      <c r="AG17" s="138" t="s">
        <v>26</v>
      </c>
      <c r="AH17" s="332" t="s">
        <v>26</v>
      </c>
      <c r="AI17" s="6" t="s">
        <v>26</v>
      </c>
      <c r="AJ17" s="744">
        <f t="shared" si="4"/>
        <v>2151</v>
      </c>
      <c r="AK17" s="744" t="s">
        <v>26</v>
      </c>
      <c r="AL17" s="745">
        <f t="shared" si="3"/>
        <v>-339</v>
      </c>
      <c r="AM17" s="747"/>
      <c r="AN17" s="745"/>
      <c r="AO17" s="745"/>
      <c r="AP17" s="731"/>
      <c r="AQ17" s="731"/>
      <c r="AR17" s="731"/>
      <c r="AS17" s="740"/>
      <c r="AT17" s="740"/>
      <c r="AU17" s="731"/>
    </row>
    <row r="18" spans="1:47" ht="15" hidden="1" customHeight="1" x14ac:dyDescent="0.3">
      <c r="A18" s="1091"/>
      <c r="B18" s="10">
        <v>137</v>
      </c>
      <c r="C18" s="27" t="s">
        <v>32</v>
      </c>
      <c r="D18" s="9">
        <v>46.6</v>
      </c>
      <c r="E18" s="91">
        <v>1760</v>
      </c>
      <c r="F18" s="93" t="s">
        <v>26</v>
      </c>
      <c r="G18" s="28"/>
      <c r="H18" s="18">
        <v>9.34</v>
      </c>
      <c r="I18" s="9">
        <v>43</v>
      </c>
      <c r="J18" s="193">
        <v>2740</v>
      </c>
      <c r="K18" s="92" t="s">
        <v>26</v>
      </c>
      <c r="L18" s="18">
        <v>43.8</v>
      </c>
      <c r="M18" s="193">
        <v>466</v>
      </c>
      <c r="N18" s="92" t="s">
        <v>26</v>
      </c>
      <c r="O18" s="18">
        <v>56.9</v>
      </c>
      <c r="P18" s="193" t="s">
        <v>30</v>
      </c>
      <c r="Q18" s="92" t="s">
        <v>26</v>
      </c>
      <c r="R18" s="172">
        <v>1.54</v>
      </c>
      <c r="S18" s="173">
        <v>-0.31</v>
      </c>
      <c r="T18" s="273"/>
      <c r="U18" s="56">
        <v>20</v>
      </c>
      <c r="V18" s="1124"/>
      <c r="W18" s="87" t="s">
        <v>37</v>
      </c>
      <c r="X18" s="68"/>
      <c r="Y18" s="220">
        <v>0.5</v>
      </c>
      <c r="Z18" s="138">
        <f t="shared" si="0"/>
        <v>880</v>
      </c>
      <c r="AA18" s="10" t="s">
        <v>26</v>
      </c>
      <c r="AB18" s="220">
        <v>0.5</v>
      </c>
      <c r="AC18" s="138">
        <f t="shared" si="1"/>
        <v>1370</v>
      </c>
      <c r="AD18" s="138" t="s">
        <v>26</v>
      </c>
      <c r="AE18" s="220">
        <v>0.4</v>
      </c>
      <c r="AF18" s="138">
        <f t="shared" si="2"/>
        <v>186.4</v>
      </c>
      <c r="AG18" s="138" t="s">
        <v>26</v>
      </c>
      <c r="AH18" s="332" t="s">
        <v>26</v>
      </c>
      <c r="AI18" s="6" t="s">
        <v>26</v>
      </c>
      <c r="AJ18" s="744">
        <f t="shared" si="4"/>
        <v>2436.4</v>
      </c>
      <c r="AK18" s="744" t="s">
        <v>26</v>
      </c>
      <c r="AL18" s="745">
        <f t="shared" si="3"/>
        <v>-53.599999999999909</v>
      </c>
      <c r="AM18" s="747" t="s">
        <v>26</v>
      </c>
      <c r="AN18" s="745"/>
      <c r="AO18" s="745"/>
      <c r="AP18" s="731"/>
      <c r="AQ18" s="731"/>
      <c r="AR18" s="731"/>
      <c r="AS18" s="740"/>
      <c r="AT18" s="740"/>
      <c r="AU18" s="731"/>
    </row>
    <row r="19" spans="1:47" ht="15" hidden="1" thickBot="1" x14ac:dyDescent="0.35">
      <c r="A19" s="1091"/>
      <c r="B19" s="10">
        <v>166</v>
      </c>
      <c r="C19" s="27" t="s">
        <v>32</v>
      </c>
      <c r="D19" s="29"/>
      <c r="E19" s="4">
        <f>29.6*50</f>
        <v>1480</v>
      </c>
      <c r="F19" s="6" t="s">
        <v>26</v>
      </c>
      <c r="G19" s="8">
        <v>1399</v>
      </c>
      <c r="H19" s="18">
        <v>9.14</v>
      </c>
      <c r="I19" s="9">
        <v>46.9</v>
      </c>
      <c r="J19" s="193">
        <v>2035.0000000000002</v>
      </c>
      <c r="K19" s="10" t="s">
        <v>26</v>
      </c>
      <c r="L19" s="18">
        <v>39.4</v>
      </c>
      <c r="M19" s="193">
        <v>630</v>
      </c>
      <c r="N19" s="10" t="s">
        <v>26</v>
      </c>
      <c r="O19" s="18">
        <v>54.1</v>
      </c>
      <c r="P19" s="193" t="s">
        <v>26</v>
      </c>
      <c r="Q19" s="10" t="s">
        <v>26</v>
      </c>
      <c r="R19" s="172">
        <v>1.35</v>
      </c>
      <c r="S19" s="173">
        <v>-0.15</v>
      </c>
      <c r="T19" s="274"/>
      <c r="U19" s="6">
        <v>20</v>
      </c>
      <c r="V19" s="1124"/>
      <c r="W19" s="86"/>
      <c r="X19" s="78"/>
      <c r="Y19" s="220">
        <v>0.5</v>
      </c>
      <c r="Z19" s="138">
        <f t="shared" si="0"/>
        <v>740</v>
      </c>
      <c r="AA19" s="10" t="s">
        <v>26</v>
      </c>
      <c r="AB19" s="220">
        <v>0.5</v>
      </c>
      <c r="AC19" s="138">
        <f t="shared" si="1"/>
        <v>1017.5000000000001</v>
      </c>
      <c r="AD19" s="138" t="s">
        <v>26</v>
      </c>
      <c r="AE19" s="220">
        <v>0.4</v>
      </c>
      <c r="AF19" s="138">
        <f t="shared" si="2"/>
        <v>252</v>
      </c>
      <c r="AG19" s="138" t="s">
        <v>26</v>
      </c>
      <c r="AH19" s="332" t="s">
        <v>26</v>
      </c>
      <c r="AI19" s="6" t="s">
        <v>26</v>
      </c>
      <c r="AJ19" s="744">
        <f t="shared" si="4"/>
        <v>2009.5</v>
      </c>
      <c r="AK19" s="744" t="s">
        <v>26</v>
      </c>
      <c r="AL19" s="745">
        <f t="shared" si="3"/>
        <v>-480.5</v>
      </c>
      <c r="AM19" s="747" t="s">
        <v>26</v>
      </c>
      <c r="AN19" s="745"/>
      <c r="AO19" s="745"/>
      <c r="AP19" s="731"/>
      <c r="AQ19" s="731"/>
      <c r="AR19" s="731"/>
      <c r="AS19" s="740"/>
      <c r="AT19" s="740"/>
      <c r="AU19" s="731"/>
    </row>
    <row r="20" spans="1:47" s="55" customFormat="1" ht="30.75" hidden="1" customHeight="1" thickBot="1" x14ac:dyDescent="0.35">
      <c r="A20" s="1092"/>
      <c r="B20" s="47">
        <v>190</v>
      </c>
      <c r="C20" s="48" t="s">
        <v>32</v>
      </c>
      <c r="D20" s="49">
        <v>52.8</v>
      </c>
      <c r="E20" s="50">
        <f>29*50</f>
        <v>1450</v>
      </c>
      <c r="F20" s="54" t="s">
        <v>26</v>
      </c>
      <c r="G20" s="51">
        <v>1222</v>
      </c>
      <c r="H20" s="52">
        <v>8.9700000000000006</v>
      </c>
      <c r="I20" s="49">
        <v>44.4</v>
      </c>
      <c r="J20" s="194">
        <v>1735.0000000000002</v>
      </c>
      <c r="K20" s="47" t="s">
        <v>26</v>
      </c>
      <c r="L20" s="52">
        <v>37.5</v>
      </c>
      <c r="M20" s="194"/>
      <c r="N20" s="47" t="s">
        <v>26</v>
      </c>
      <c r="O20" s="52">
        <v>54.3</v>
      </c>
      <c r="P20" s="194" t="s">
        <v>26</v>
      </c>
      <c r="Q20" s="47" t="s">
        <v>26</v>
      </c>
      <c r="R20" s="174" t="s">
        <v>26</v>
      </c>
      <c r="S20" s="175" t="s">
        <v>26</v>
      </c>
      <c r="T20" s="275"/>
      <c r="U20" s="127">
        <v>20</v>
      </c>
      <c r="V20" s="1135"/>
      <c r="W20" s="88" t="s">
        <v>44</v>
      </c>
      <c r="X20" s="178"/>
      <c r="Y20" s="221">
        <v>0.5</v>
      </c>
      <c r="Z20" s="139">
        <f t="shared" si="0"/>
        <v>725</v>
      </c>
      <c r="AA20" s="47" t="s">
        <v>26</v>
      </c>
      <c r="AB20" s="221">
        <v>0.5</v>
      </c>
      <c r="AC20" s="335">
        <f t="shared" si="1"/>
        <v>867.50000000000011</v>
      </c>
      <c r="AD20" s="139" t="s">
        <v>26</v>
      </c>
      <c r="AE20" s="221">
        <v>0.4</v>
      </c>
      <c r="AF20" s="139">
        <f t="shared" si="2"/>
        <v>0</v>
      </c>
      <c r="AG20" s="139" t="s">
        <v>26</v>
      </c>
      <c r="AH20" s="336" t="s">
        <v>26</v>
      </c>
      <c r="AI20" s="54" t="s">
        <v>26</v>
      </c>
      <c r="AJ20" s="744">
        <f t="shared" si="4"/>
        <v>1592.5</v>
      </c>
      <c r="AK20" s="744" t="s">
        <v>26</v>
      </c>
      <c r="AL20" s="745">
        <f t="shared" si="3"/>
        <v>-897.5</v>
      </c>
      <c r="AM20" s="747" t="s">
        <v>26</v>
      </c>
      <c r="AN20" s="745"/>
      <c r="AO20" s="745"/>
      <c r="AP20" s="748">
        <f>AF20/Z14</f>
        <v>0</v>
      </c>
      <c r="AQ20" s="748"/>
      <c r="AR20" s="748">
        <f>(Z14-Z20)/Z14</f>
        <v>0.70883534136546189</v>
      </c>
      <c r="AS20" s="816"/>
      <c r="AT20" s="741"/>
      <c r="AU20" s="733">
        <f>((G14+$T$2)-G20)/(1000*(B20/24))</f>
        <v>0.45069473684210526</v>
      </c>
    </row>
    <row r="21" spans="1:47" ht="15.6" hidden="1" thickTop="1" thickBot="1" x14ac:dyDescent="0.35">
      <c r="A21" s="1128">
        <v>3</v>
      </c>
      <c r="B21" s="39"/>
      <c r="C21" s="41"/>
      <c r="D21" s="42"/>
      <c r="E21" s="42"/>
      <c r="F21" s="43"/>
      <c r="G21" s="43"/>
      <c r="H21" s="41"/>
      <c r="I21" s="42"/>
      <c r="J21" s="43"/>
      <c r="K21" s="44"/>
      <c r="L21" s="41"/>
      <c r="M21" s="189"/>
      <c r="N21" s="44"/>
      <c r="O21" s="41"/>
      <c r="P21" s="189"/>
      <c r="Q21" s="44"/>
      <c r="R21" s="166"/>
      <c r="S21" s="167"/>
      <c r="T21" s="276"/>
      <c r="U21" s="168"/>
      <c r="V21" s="45"/>
      <c r="W21" s="46" t="s">
        <v>36</v>
      </c>
      <c r="X21" s="68"/>
      <c r="Y21" s="340"/>
      <c r="Z21" s="327"/>
      <c r="AA21" s="341"/>
      <c r="AB21" s="340"/>
      <c r="AC21" s="342"/>
      <c r="AD21" s="342"/>
      <c r="AE21" s="340"/>
      <c r="AF21" s="343"/>
      <c r="AG21" s="342"/>
      <c r="AH21" s="344"/>
      <c r="AI21" s="349"/>
      <c r="AJ21" s="743"/>
      <c r="AK21" s="743"/>
      <c r="AL21" s="743"/>
      <c r="AM21" s="749"/>
      <c r="AN21" s="743"/>
      <c r="AO21" s="743"/>
      <c r="AP21" s="731"/>
      <c r="AQ21" s="731"/>
      <c r="AR21" s="731"/>
      <c r="AS21" s="740"/>
      <c r="AT21" s="740"/>
      <c r="AU21" s="731"/>
    </row>
    <row r="22" spans="1:47" ht="15" hidden="1" thickBot="1" x14ac:dyDescent="0.35">
      <c r="A22" s="1129"/>
      <c r="B22" s="10"/>
      <c r="C22" s="30"/>
      <c r="D22" s="7"/>
      <c r="E22" s="7"/>
      <c r="F22" s="35"/>
      <c r="G22" s="35"/>
      <c r="H22" s="30"/>
      <c r="I22" s="7"/>
      <c r="J22" s="35"/>
      <c r="K22" s="31"/>
      <c r="L22" s="30"/>
      <c r="M22" s="190"/>
      <c r="N22" s="31"/>
      <c r="O22" s="30"/>
      <c r="P22" s="190"/>
      <c r="Q22" s="31"/>
      <c r="R22" s="30"/>
      <c r="S22" s="7"/>
      <c r="T22" s="274"/>
      <c r="U22" s="35"/>
      <c r="V22" s="36"/>
      <c r="W22" s="86" t="s">
        <v>38</v>
      </c>
      <c r="X22" s="68"/>
      <c r="Y22" s="348"/>
      <c r="Z22" s="327"/>
      <c r="AA22" s="341"/>
      <c r="AB22" s="348"/>
      <c r="AC22" s="342"/>
      <c r="AD22" s="342"/>
      <c r="AE22" s="348"/>
      <c r="AF22" s="349"/>
      <c r="AG22" s="342"/>
      <c r="AH22" s="347"/>
      <c r="AI22" s="349"/>
      <c r="AJ22" s="743"/>
      <c r="AK22" s="743"/>
      <c r="AL22" s="743"/>
      <c r="AM22" s="749"/>
      <c r="AN22" s="743"/>
      <c r="AO22" s="743"/>
      <c r="AP22" s="731"/>
      <c r="AQ22" s="731"/>
      <c r="AR22" s="731"/>
      <c r="AS22" s="740"/>
      <c r="AT22" s="740"/>
      <c r="AU22" s="731"/>
    </row>
    <row r="23" spans="1:47" s="55" customFormat="1" ht="15" hidden="1" thickBot="1" x14ac:dyDescent="0.35">
      <c r="A23" s="1130"/>
      <c r="B23" s="47"/>
      <c r="C23" s="57"/>
      <c r="D23" s="58"/>
      <c r="E23" s="58"/>
      <c r="F23" s="59"/>
      <c r="G23" s="59"/>
      <c r="H23" s="57"/>
      <c r="I23" s="58"/>
      <c r="J23" s="59"/>
      <c r="K23" s="60"/>
      <c r="L23" s="57"/>
      <c r="M23" s="191"/>
      <c r="N23" s="60"/>
      <c r="O23" s="57"/>
      <c r="P23" s="191"/>
      <c r="Q23" s="60"/>
      <c r="R23" s="57"/>
      <c r="S23" s="58"/>
      <c r="T23" s="277"/>
      <c r="U23" s="59"/>
      <c r="V23" s="61"/>
      <c r="W23" s="62"/>
      <c r="X23" s="68"/>
      <c r="Y23" s="352"/>
      <c r="Z23" s="353"/>
      <c r="AA23" s="354"/>
      <c r="AB23" s="352"/>
      <c r="AC23" s="355"/>
      <c r="AD23" s="355"/>
      <c r="AE23" s="352"/>
      <c r="AF23" s="356"/>
      <c r="AG23" s="355"/>
      <c r="AH23" s="357"/>
      <c r="AI23" s="356"/>
      <c r="AJ23" s="743"/>
      <c r="AK23" s="743"/>
      <c r="AL23" s="743"/>
      <c r="AM23" s="749"/>
      <c r="AN23" s="743"/>
      <c r="AO23" s="743"/>
      <c r="AP23" s="731"/>
      <c r="AQ23" s="731"/>
      <c r="AR23" s="731"/>
      <c r="AS23" s="740"/>
      <c r="AT23" s="740"/>
      <c r="AU23" s="731"/>
    </row>
    <row r="24" spans="1:47" ht="30" hidden="1" thickTop="1" thickBot="1" x14ac:dyDescent="0.35">
      <c r="A24" s="1090">
        <v>4</v>
      </c>
      <c r="B24" s="39">
        <v>0</v>
      </c>
      <c r="C24" s="37">
        <v>7.59</v>
      </c>
      <c r="D24" s="38">
        <v>50.3</v>
      </c>
      <c r="E24" s="81">
        <f>98.8*50</f>
        <v>4940</v>
      </c>
      <c r="F24" s="196" t="s">
        <v>26</v>
      </c>
      <c r="G24" s="100">
        <f>195*10</f>
        <v>1950</v>
      </c>
      <c r="H24" s="80">
        <v>7.2</v>
      </c>
      <c r="I24" s="38">
        <v>53.6</v>
      </c>
      <c r="J24" s="56">
        <v>7.0499999999999989</v>
      </c>
      <c r="K24" s="39" t="s">
        <v>26</v>
      </c>
      <c r="L24" s="107" t="s">
        <v>26</v>
      </c>
      <c r="M24" s="192" t="s">
        <v>26</v>
      </c>
      <c r="N24" s="39" t="s">
        <v>26</v>
      </c>
      <c r="O24" s="107" t="s">
        <v>26</v>
      </c>
      <c r="P24" s="192" t="s">
        <v>26</v>
      </c>
      <c r="Q24" s="39" t="s">
        <v>26</v>
      </c>
      <c r="R24" s="157">
        <v>-0.35</v>
      </c>
      <c r="S24" s="153"/>
      <c r="T24" s="278"/>
      <c r="U24" s="237"/>
      <c r="V24" s="1132">
        <v>300</v>
      </c>
      <c r="W24" s="101" t="s">
        <v>46</v>
      </c>
      <c r="X24" s="68"/>
      <c r="Y24" s="328">
        <v>0.5</v>
      </c>
      <c r="Z24" s="323">
        <f>$Y24*E24</f>
        <v>2470</v>
      </c>
      <c r="AA24" s="322" t="s">
        <v>26</v>
      </c>
      <c r="AB24" s="328">
        <v>0.5</v>
      </c>
      <c r="AC24" s="323">
        <f>$AB24*J24</f>
        <v>3.5249999999999995</v>
      </c>
      <c r="AD24" s="323" t="s">
        <v>26</v>
      </c>
      <c r="AE24" s="328">
        <v>0.4</v>
      </c>
      <c r="AF24" s="361">
        <v>0</v>
      </c>
      <c r="AG24" s="361">
        <v>0</v>
      </c>
      <c r="AH24" s="362">
        <v>0</v>
      </c>
      <c r="AI24" s="366">
        <v>0</v>
      </c>
      <c r="AJ24" s="744">
        <f>Z24+AC24+AF24</f>
        <v>2473.5250000000001</v>
      </c>
      <c r="AK24" s="745" t="s">
        <v>26</v>
      </c>
      <c r="AL24" s="745" t="s">
        <v>26</v>
      </c>
      <c r="AM24" s="744" t="s">
        <v>26</v>
      </c>
      <c r="AN24" s="745"/>
      <c r="AO24" s="745"/>
      <c r="AP24" s="731"/>
      <c r="AQ24" s="731"/>
      <c r="AR24" s="731"/>
      <c r="AS24" s="740"/>
      <c r="AT24" s="740"/>
      <c r="AU24" s="731"/>
    </row>
    <row r="25" spans="1:47" ht="15" hidden="1" thickBot="1" x14ac:dyDescent="0.35">
      <c r="A25" s="1091"/>
      <c r="B25" s="10">
        <v>21</v>
      </c>
      <c r="C25" s="33">
        <v>8.01</v>
      </c>
      <c r="D25" s="4">
        <v>47.6</v>
      </c>
      <c r="E25" s="4">
        <f>147.5*25</f>
        <v>3687.5</v>
      </c>
      <c r="F25" s="6" t="s">
        <v>26</v>
      </c>
      <c r="G25" s="21">
        <f>193*10</f>
        <v>1930</v>
      </c>
      <c r="H25" s="33">
        <v>8.4700000000000006</v>
      </c>
      <c r="I25" s="4">
        <v>57.5</v>
      </c>
      <c r="J25" s="6">
        <v>935</v>
      </c>
      <c r="K25" s="10" t="s">
        <v>26</v>
      </c>
      <c r="L25" s="33">
        <v>50.1</v>
      </c>
      <c r="M25" s="118">
        <v>165</v>
      </c>
      <c r="N25" s="10" t="s">
        <v>26</v>
      </c>
      <c r="O25" s="34" t="s">
        <v>26</v>
      </c>
      <c r="P25" s="118" t="s">
        <v>26</v>
      </c>
      <c r="Q25" s="10" t="s">
        <v>26</v>
      </c>
      <c r="R25" s="176">
        <v>-0.35</v>
      </c>
      <c r="S25" s="154">
        <v>-0.04</v>
      </c>
      <c r="T25" s="279"/>
      <c r="U25" s="6">
        <v>6.81</v>
      </c>
      <c r="V25" s="1083"/>
      <c r="W25" s="86" t="s">
        <v>45</v>
      </c>
      <c r="X25" s="68"/>
      <c r="Y25" s="220">
        <v>0.5</v>
      </c>
      <c r="Z25" s="138">
        <f>$Y25*E25</f>
        <v>1843.75</v>
      </c>
      <c r="AA25" s="10" t="s">
        <v>26</v>
      </c>
      <c r="AB25" s="220">
        <v>0.5</v>
      </c>
      <c r="AC25" s="138">
        <f>$AB25*J25</f>
        <v>467.5</v>
      </c>
      <c r="AD25" s="138" t="s">
        <v>26</v>
      </c>
      <c r="AE25" s="220">
        <v>0.4</v>
      </c>
      <c r="AF25" s="138">
        <f>$AE25*M25</f>
        <v>66</v>
      </c>
      <c r="AG25" s="138" t="s">
        <v>26</v>
      </c>
      <c r="AH25" s="118" t="s">
        <v>26</v>
      </c>
      <c r="AI25" s="6" t="s">
        <v>26</v>
      </c>
      <c r="AJ25" s="744">
        <f>Z25+AC25+AF25</f>
        <v>2377.25</v>
      </c>
      <c r="AK25" s="744" t="s">
        <v>26</v>
      </c>
      <c r="AL25" s="745">
        <f>AJ25-$AJ$24</f>
        <v>-96.275000000000091</v>
      </c>
      <c r="AM25" s="744" t="s">
        <v>26</v>
      </c>
      <c r="AN25" s="745"/>
      <c r="AO25" s="745"/>
      <c r="AP25" s="731"/>
      <c r="AQ25" s="731"/>
      <c r="AR25" s="731"/>
      <c r="AS25" s="740"/>
      <c r="AT25" s="740"/>
      <c r="AU25" s="731"/>
    </row>
    <row r="26" spans="1:47" ht="15" hidden="1" thickBot="1" x14ac:dyDescent="0.35">
      <c r="A26" s="1091"/>
      <c r="B26" s="10">
        <v>47</v>
      </c>
      <c r="C26" s="33">
        <v>8.01</v>
      </c>
      <c r="D26" s="4">
        <v>46.7</v>
      </c>
      <c r="E26" s="4">
        <f>117.4*25</f>
        <v>2935</v>
      </c>
      <c r="F26" s="6" t="s">
        <v>26</v>
      </c>
      <c r="G26" s="6">
        <f>107*10</f>
        <v>1070</v>
      </c>
      <c r="H26" s="33">
        <v>8.52</v>
      </c>
      <c r="I26" s="4">
        <v>59.4</v>
      </c>
      <c r="J26" s="6">
        <v>1614</v>
      </c>
      <c r="K26" s="10" t="s">
        <v>26</v>
      </c>
      <c r="L26" s="33">
        <v>51.2</v>
      </c>
      <c r="M26" s="118">
        <v>260</v>
      </c>
      <c r="N26" s="10" t="s">
        <v>26</v>
      </c>
      <c r="O26" s="34" t="s">
        <v>26</v>
      </c>
      <c r="P26" s="118" t="s">
        <v>26</v>
      </c>
      <c r="Q26" s="10" t="s">
        <v>26</v>
      </c>
      <c r="R26" s="176">
        <v>-0.35</v>
      </c>
      <c r="S26" s="177"/>
      <c r="T26" s="280"/>
      <c r="U26" s="238"/>
      <c r="V26" s="1083"/>
      <c r="W26" s="87" t="s">
        <v>42</v>
      </c>
      <c r="X26" s="68"/>
      <c r="Y26" s="220">
        <v>0.5</v>
      </c>
      <c r="Z26" s="138">
        <f>$Y26*E26</f>
        <v>1467.5</v>
      </c>
      <c r="AA26" s="10" t="s">
        <v>26</v>
      </c>
      <c r="AB26" s="220">
        <v>0.5</v>
      </c>
      <c r="AC26" s="138">
        <f>$AB26*J26</f>
        <v>807</v>
      </c>
      <c r="AD26" s="138" t="s">
        <v>26</v>
      </c>
      <c r="AE26" s="220">
        <v>0.4</v>
      </c>
      <c r="AF26" s="138">
        <f>$AE26*M26</f>
        <v>104</v>
      </c>
      <c r="AG26" s="138" t="s">
        <v>26</v>
      </c>
      <c r="AH26" s="118" t="s">
        <v>26</v>
      </c>
      <c r="AI26" s="6" t="s">
        <v>26</v>
      </c>
      <c r="AJ26" s="744">
        <f>Z26+AC26+AF26</f>
        <v>2378.5</v>
      </c>
      <c r="AK26" s="744" t="s">
        <v>26</v>
      </c>
      <c r="AL26" s="745">
        <f>AJ26-$AJ$24</f>
        <v>-95.025000000000091</v>
      </c>
      <c r="AM26" s="744" t="s">
        <v>26</v>
      </c>
      <c r="AN26" s="745"/>
      <c r="AO26" s="745"/>
      <c r="AP26" s="731"/>
      <c r="AQ26" s="731"/>
      <c r="AR26" s="731"/>
      <c r="AS26" s="740"/>
      <c r="AT26" s="740"/>
      <c r="AU26" s="731"/>
    </row>
    <row r="27" spans="1:47" ht="15" hidden="1" thickBot="1" x14ac:dyDescent="0.35">
      <c r="A27" s="1136"/>
      <c r="B27" s="39">
        <v>68</v>
      </c>
      <c r="C27" s="103">
        <v>8.24</v>
      </c>
      <c r="D27" s="38">
        <v>46.1</v>
      </c>
      <c r="E27" s="38">
        <f>1151*2</f>
        <v>2302</v>
      </c>
      <c r="F27" s="56" t="s">
        <v>26</v>
      </c>
      <c r="G27" s="56">
        <f>104*10</f>
        <v>1040</v>
      </c>
      <c r="H27" s="103">
        <v>8.3699999999999992</v>
      </c>
      <c r="I27" s="38">
        <v>59.7</v>
      </c>
      <c r="J27" s="56">
        <v>1956</v>
      </c>
      <c r="K27" s="39" t="s">
        <v>26</v>
      </c>
      <c r="L27" s="103">
        <v>47.9</v>
      </c>
      <c r="M27" s="180">
        <v>463</v>
      </c>
      <c r="N27" s="39" t="s">
        <v>26</v>
      </c>
      <c r="O27" s="107" t="s">
        <v>26</v>
      </c>
      <c r="P27" s="192" t="s">
        <v>26</v>
      </c>
      <c r="Q27" s="39" t="s">
        <v>26</v>
      </c>
      <c r="R27" s="83"/>
      <c r="S27" s="90"/>
      <c r="T27" s="281"/>
      <c r="U27" s="239"/>
      <c r="V27" s="1133"/>
      <c r="W27" s="105"/>
      <c r="X27" s="179"/>
      <c r="Y27" s="221">
        <v>0.5</v>
      </c>
      <c r="Z27" s="139">
        <f>Y27*E27</f>
        <v>1151</v>
      </c>
      <c r="AA27" s="47" t="s">
        <v>26</v>
      </c>
      <c r="AB27" s="221">
        <v>0.5</v>
      </c>
      <c r="AC27" s="335">
        <f>$AB27*J27</f>
        <v>978</v>
      </c>
      <c r="AD27" s="139" t="s">
        <v>26</v>
      </c>
      <c r="AE27" s="221">
        <v>0.4</v>
      </c>
      <c r="AF27" s="139">
        <f>$AE27*M27</f>
        <v>185.20000000000002</v>
      </c>
      <c r="AG27" s="139" t="s">
        <v>26</v>
      </c>
      <c r="AH27" s="129" t="s">
        <v>26</v>
      </c>
      <c r="AI27" s="54" t="s">
        <v>26</v>
      </c>
      <c r="AJ27" s="744">
        <f>Z27+AC27+AF27</f>
        <v>2314.1999999999998</v>
      </c>
      <c r="AK27" s="744" t="s">
        <v>26</v>
      </c>
      <c r="AL27" s="745">
        <f>AJ27-$AJ$24</f>
        <v>-159.32500000000027</v>
      </c>
      <c r="AM27" s="744" t="s">
        <v>26</v>
      </c>
      <c r="AN27" s="745"/>
      <c r="AO27" s="745"/>
      <c r="AP27" s="748">
        <f>(AF27)/Z24</f>
        <v>7.4979757085020249E-2</v>
      </c>
      <c r="AQ27" s="748"/>
      <c r="AR27" s="748">
        <f>(Z24-Z27)/Z24</f>
        <v>0.53400809716599196</v>
      </c>
      <c r="AS27" s="816"/>
      <c r="AT27" s="741"/>
      <c r="AU27" s="733">
        <f>((G24+$T$2)-G27)/(1000*(B27/24))</f>
        <v>1.3094117647058823</v>
      </c>
    </row>
    <row r="28" spans="1:47" ht="15.6" hidden="1" thickTop="1" thickBot="1" x14ac:dyDescent="0.35">
      <c r="A28" s="1090">
        <v>5</v>
      </c>
      <c r="B28" s="1093" t="s">
        <v>48</v>
      </c>
      <c r="C28" s="106">
        <v>8.25</v>
      </c>
      <c r="D28" s="110">
        <v>48.6</v>
      </c>
      <c r="E28" s="110">
        <f>953*2</f>
        <v>1906</v>
      </c>
      <c r="F28" s="184" t="s">
        <v>26</v>
      </c>
      <c r="G28" s="109">
        <f>72*10</f>
        <v>720</v>
      </c>
      <c r="H28" s="106">
        <v>8.07</v>
      </c>
      <c r="I28" s="110">
        <v>62.6</v>
      </c>
      <c r="J28" s="184">
        <v>1063</v>
      </c>
      <c r="K28" s="109" t="s">
        <v>26</v>
      </c>
      <c r="L28" s="150">
        <v>50.2</v>
      </c>
      <c r="M28" s="138">
        <v>1888</v>
      </c>
      <c r="N28" s="184" t="s">
        <v>26</v>
      </c>
      <c r="O28" s="106" t="s">
        <v>26</v>
      </c>
      <c r="P28" s="184" t="s">
        <v>26</v>
      </c>
      <c r="Q28" s="184" t="s">
        <v>26</v>
      </c>
      <c r="R28" s="166"/>
      <c r="S28" s="167"/>
      <c r="T28" s="276"/>
      <c r="U28" s="168"/>
      <c r="V28" s="1082">
        <v>300</v>
      </c>
      <c r="W28" s="163"/>
      <c r="X28" s="180"/>
      <c r="Y28" s="328">
        <v>0.5</v>
      </c>
      <c r="Z28" s="323">
        <f>$Y28*E28</f>
        <v>953</v>
      </c>
      <c r="AA28" s="322" t="s">
        <v>26</v>
      </c>
      <c r="AB28" s="328">
        <v>0.5</v>
      </c>
      <c r="AC28" s="323"/>
      <c r="AD28" s="361">
        <v>0</v>
      </c>
      <c r="AE28" s="328">
        <v>0.4</v>
      </c>
      <c r="AF28" s="366">
        <v>0</v>
      </c>
      <c r="AG28" s="361">
        <v>0</v>
      </c>
      <c r="AH28" s="362">
        <v>0</v>
      </c>
      <c r="AI28" s="366">
        <v>0</v>
      </c>
      <c r="AJ28" s="744">
        <f>Z28+AC28+AF28+AH28</f>
        <v>953</v>
      </c>
      <c r="AK28" s="744" t="s">
        <v>26</v>
      </c>
      <c r="AL28" s="745" t="s">
        <v>26</v>
      </c>
      <c r="AM28" s="744" t="s">
        <v>26</v>
      </c>
      <c r="AN28" s="744"/>
      <c r="AO28" s="744"/>
      <c r="AP28" s="731"/>
      <c r="AQ28" s="732"/>
      <c r="AR28" s="731"/>
      <c r="AS28" s="740"/>
      <c r="AT28" s="740"/>
      <c r="AU28" s="731"/>
    </row>
    <row r="29" spans="1:47" ht="15" hidden="1" thickBot="1" x14ac:dyDescent="0.35">
      <c r="A29" s="1091"/>
      <c r="B29" s="1094"/>
      <c r="C29" s="134"/>
      <c r="D29" s="122"/>
      <c r="E29" s="123"/>
      <c r="F29" s="197" t="s">
        <v>26</v>
      </c>
      <c r="G29" s="120"/>
      <c r="H29" s="113"/>
      <c r="I29" s="6"/>
      <c r="J29" s="127"/>
      <c r="K29" s="117" t="s">
        <v>26</v>
      </c>
      <c r="L29" s="118"/>
      <c r="M29" s="138"/>
      <c r="N29" s="117" t="s">
        <v>26</v>
      </c>
      <c r="O29" s="118"/>
      <c r="P29" s="126"/>
      <c r="Q29" s="117" t="s">
        <v>26</v>
      </c>
      <c r="R29" s="30"/>
      <c r="S29" s="7"/>
      <c r="T29" s="274"/>
      <c r="U29" s="35"/>
      <c r="V29" s="1083"/>
      <c r="W29" s="164"/>
      <c r="X29" s="68"/>
      <c r="Y29" s="220">
        <v>0.5</v>
      </c>
      <c r="Z29" s="138">
        <f>$Y29*E29</f>
        <v>0</v>
      </c>
      <c r="AA29" s="10" t="s">
        <v>26</v>
      </c>
      <c r="AB29" s="220">
        <v>0.5</v>
      </c>
      <c r="AC29" s="138"/>
      <c r="AD29" s="138" t="s">
        <v>26</v>
      </c>
      <c r="AE29" s="220">
        <v>0.4</v>
      </c>
      <c r="AF29" s="6" t="s">
        <v>26</v>
      </c>
      <c r="AG29" s="138" t="s">
        <v>26</v>
      </c>
      <c r="AH29" s="118" t="s">
        <v>26</v>
      </c>
      <c r="AI29" s="6" t="s">
        <v>26</v>
      </c>
      <c r="AJ29" s="744" t="s">
        <v>26</v>
      </c>
      <c r="AK29" s="744" t="s">
        <v>26</v>
      </c>
      <c r="AL29" s="745" t="s">
        <v>26</v>
      </c>
      <c r="AM29" s="744" t="s">
        <v>26</v>
      </c>
      <c r="AN29" s="744"/>
      <c r="AO29" s="744"/>
      <c r="AP29" s="731"/>
      <c r="AQ29" s="732"/>
      <c r="AR29" s="731"/>
      <c r="AS29" s="740"/>
      <c r="AT29" s="740"/>
      <c r="AU29" s="731"/>
    </row>
    <row r="30" spans="1:47" ht="15" hidden="1" thickBot="1" x14ac:dyDescent="0.35">
      <c r="A30" s="1092"/>
      <c r="B30" s="1095"/>
      <c r="C30" s="135"/>
      <c r="D30" s="142"/>
      <c r="E30" s="143">
        <f>(E24-E25)/E24</f>
        <v>0.25354251012145751</v>
      </c>
      <c r="F30" s="143" t="s">
        <v>26</v>
      </c>
      <c r="G30" s="140"/>
      <c r="H30" s="130"/>
      <c r="I30" s="54"/>
      <c r="J30" s="54">
        <v>0.18927125506072875</v>
      </c>
      <c r="K30" s="47" t="s">
        <v>26</v>
      </c>
      <c r="L30" s="129"/>
      <c r="M30" s="54">
        <v>3.3400809716599193E-2</v>
      </c>
      <c r="N30" s="47" t="s">
        <v>26</v>
      </c>
      <c r="O30" s="129"/>
      <c r="P30" s="139"/>
      <c r="Q30" s="47" t="s">
        <v>26</v>
      </c>
      <c r="R30" s="57"/>
      <c r="S30" s="58"/>
      <c r="T30" s="277"/>
      <c r="U30" s="59"/>
      <c r="V30" s="1084"/>
      <c r="W30" s="164"/>
      <c r="X30" s="68"/>
      <c r="Y30" s="221">
        <v>0.5</v>
      </c>
      <c r="Z30" s="139">
        <f>$Y30*E30</f>
        <v>0.12677125506072875</v>
      </c>
      <c r="AA30" s="47" t="s">
        <v>26</v>
      </c>
      <c r="AB30" s="221">
        <v>0.5</v>
      </c>
      <c r="AC30" s="139"/>
      <c r="AD30" s="139" t="s">
        <v>26</v>
      </c>
      <c r="AE30" s="221">
        <v>0.4</v>
      </c>
      <c r="AF30" s="54" t="s">
        <v>26</v>
      </c>
      <c r="AG30" s="139" t="s">
        <v>26</v>
      </c>
      <c r="AH30" s="129" t="s">
        <v>26</v>
      </c>
      <c r="AI30" s="54" t="s">
        <v>26</v>
      </c>
      <c r="AJ30" s="744">
        <f>Z30+AC30</f>
        <v>0.12677125506072875</v>
      </c>
      <c r="AK30" s="744" t="s">
        <v>26</v>
      </c>
      <c r="AL30" s="745">
        <f>AJ30-$AJ$28</f>
        <v>-952.8732287449393</v>
      </c>
      <c r="AM30" s="744" t="s">
        <v>26</v>
      </c>
      <c r="AN30" s="745"/>
      <c r="AO30" s="745"/>
      <c r="AP30" s="748" t="s">
        <v>26</v>
      </c>
      <c r="AQ30" s="731"/>
      <c r="AR30" s="748">
        <f>(Z28-Z30)/Z28</f>
        <v>0.99986697664736546</v>
      </c>
      <c r="AS30" s="816"/>
      <c r="AT30" s="741"/>
      <c r="AU30" s="733" t="s">
        <v>26</v>
      </c>
    </row>
    <row r="31" spans="1:47" ht="15.6" hidden="1" thickTop="1" thickBot="1" x14ac:dyDescent="0.35">
      <c r="A31" s="106">
        <v>6</v>
      </c>
      <c r="B31" s="119">
        <v>0</v>
      </c>
      <c r="C31" s="106">
        <v>7.79</v>
      </c>
      <c r="D31" s="110">
        <v>52.5</v>
      </c>
      <c r="E31" s="110">
        <f>986*5</f>
        <v>4930</v>
      </c>
      <c r="F31" s="184" t="s">
        <v>26</v>
      </c>
      <c r="G31" s="109">
        <f>116*10</f>
        <v>1160</v>
      </c>
      <c r="H31" s="106" t="s">
        <v>26</v>
      </c>
      <c r="I31" s="110" t="s">
        <v>26</v>
      </c>
      <c r="J31" s="184" t="s">
        <v>26</v>
      </c>
      <c r="K31" s="109" t="s">
        <v>26</v>
      </c>
      <c r="L31" s="150" t="s">
        <v>26</v>
      </c>
      <c r="M31" s="198" t="s">
        <v>26</v>
      </c>
      <c r="N31" s="184" t="s">
        <v>26</v>
      </c>
      <c r="O31" s="106" t="s">
        <v>26</v>
      </c>
      <c r="P31" s="184" t="s">
        <v>26</v>
      </c>
      <c r="Q31" s="184" t="s">
        <v>26</v>
      </c>
      <c r="R31" s="166"/>
      <c r="S31" s="167"/>
      <c r="T31" s="276"/>
      <c r="U31" s="240"/>
      <c r="V31" s="156">
        <v>300</v>
      </c>
      <c r="W31" s="131"/>
      <c r="X31" s="180"/>
      <c r="Y31" s="225" t="s">
        <v>26</v>
      </c>
      <c r="Z31" s="152" t="s">
        <v>26</v>
      </c>
      <c r="AA31" s="368" t="s">
        <v>26</v>
      </c>
      <c r="AB31" s="225" t="s">
        <v>26</v>
      </c>
      <c r="AC31" s="198" t="s">
        <v>26</v>
      </c>
      <c r="AD31" s="198" t="s">
        <v>26</v>
      </c>
      <c r="AE31" s="225" t="s">
        <v>26</v>
      </c>
      <c r="AF31" s="369" t="s">
        <v>26</v>
      </c>
      <c r="AG31" s="198" t="s">
        <v>26</v>
      </c>
      <c r="AH31" s="370" t="s">
        <v>26</v>
      </c>
      <c r="AI31" s="403" t="s">
        <v>26</v>
      </c>
      <c r="AJ31" s="744" t="s">
        <v>26</v>
      </c>
      <c r="AK31" s="744" t="s">
        <v>26</v>
      </c>
      <c r="AL31" s="744" t="s">
        <v>26</v>
      </c>
      <c r="AM31" s="750" t="s">
        <v>26</v>
      </c>
      <c r="AN31" s="745"/>
      <c r="AO31" s="745"/>
      <c r="AP31" s="732" t="s">
        <v>26</v>
      </c>
      <c r="AQ31" s="731"/>
      <c r="AR31" s="732" t="s">
        <v>26</v>
      </c>
      <c r="AS31" s="742"/>
      <c r="AT31" s="742"/>
      <c r="AU31" s="732" t="s">
        <v>26</v>
      </c>
    </row>
    <row r="32" spans="1:47" ht="15.6" hidden="1" thickTop="1" thickBot="1" x14ac:dyDescent="0.35">
      <c r="A32" s="1079">
        <v>7</v>
      </c>
      <c r="B32" s="114">
        <v>0</v>
      </c>
      <c r="C32" s="111">
        <v>7.2</v>
      </c>
      <c r="D32" s="110">
        <v>20.12</v>
      </c>
      <c r="E32" s="110">
        <f>111*10</f>
        <v>1110</v>
      </c>
      <c r="F32" s="184" t="s">
        <v>26</v>
      </c>
      <c r="G32" s="111">
        <f>381*5</f>
        <v>1905</v>
      </c>
      <c r="H32" s="112">
        <v>7.27</v>
      </c>
      <c r="I32" s="115">
        <v>18.8</v>
      </c>
      <c r="J32" s="185" t="s">
        <v>26</v>
      </c>
      <c r="K32" s="116" t="s">
        <v>26</v>
      </c>
      <c r="L32" s="150" t="s">
        <v>26</v>
      </c>
      <c r="M32" s="38" t="s">
        <v>26</v>
      </c>
      <c r="N32" s="116" t="s">
        <v>26</v>
      </c>
      <c r="O32" s="112" t="s">
        <v>26</v>
      </c>
      <c r="P32" s="184" t="s">
        <v>26</v>
      </c>
      <c r="Q32" s="116" t="s">
        <v>26</v>
      </c>
      <c r="R32" s="112"/>
      <c r="S32" s="115"/>
      <c r="T32" s="212"/>
      <c r="U32" s="232"/>
      <c r="V32" s="1082">
        <v>300</v>
      </c>
      <c r="W32" s="102" t="s">
        <v>56</v>
      </c>
      <c r="X32" s="68"/>
      <c r="Y32" s="405">
        <v>1</v>
      </c>
      <c r="Z32" s="323">
        <f t="shared" ref="Z32:Z39" si="5">$Y32*E32</f>
        <v>1110</v>
      </c>
      <c r="AA32" s="322" t="s">
        <v>26</v>
      </c>
      <c r="AB32" s="405">
        <v>0.5</v>
      </c>
      <c r="AC32" s="361">
        <v>0</v>
      </c>
      <c r="AD32" s="361">
        <v>0</v>
      </c>
      <c r="AE32" s="328">
        <v>0.4</v>
      </c>
      <c r="AF32" s="361">
        <v>0</v>
      </c>
      <c r="AG32" s="361">
        <v>0</v>
      </c>
      <c r="AH32" s="361">
        <v>0</v>
      </c>
      <c r="AI32" s="366">
        <v>0</v>
      </c>
      <c r="AJ32" s="744">
        <f>Z32+AC32+AF32+AH32</f>
        <v>1110</v>
      </c>
      <c r="AK32" s="745" t="s">
        <v>26</v>
      </c>
      <c r="AL32" s="745" t="s">
        <v>26</v>
      </c>
      <c r="AM32" s="751" t="s">
        <v>26</v>
      </c>
      <c r="AN32" s="745"/>
      <c r="AO32" s="745"/>
      <c r="AP32" s="731"/>
      <c r="AQ32" s="731"/>
      <c r="AR32" s="731"/>
      <c r="AS32" s="740"/>
      <c r="AT32" s="740"/>
      <c r="AU32" s="731"/>
    </row>
    <row r="33" spans="1:47" ht="15" hidden="1" thickBot="1" x14ac:dyDescent="0.35">
      <c r="A33" s="1080"/>
      <c r="B33" s="117">
        <v>21</v>
      </c>
      <c r="C33" s="113">
        <v>7.69</v>
      </c>
      <c r="D33" s="4">
        <v>17.72</v>
      </c>
      <c r="E33" s="6">
        <f>74.7*10</f>
        <v>747</v>
      </c>
      <c r="F33" s="127" t="s">
        <v>26</v>
      </c>
      <c r="G33" s="117">
        <f>264*5</f>
        <v>1320</v>
      </c>
      <c r="H33" s="113" t="s">
        <v>26</v>
      </c>
      <c r="I33" s="6" t="s">
        <v>26</v>
      </c>
      <c r="J33" s="127" t="s">
        <v>26</v>
      </c>
      <c r="K33" s="117" t="s">
        <v>26</v>
      </c>
      <c r="L33" s="118" t="s">
        <v>26</v>
      </c>
      <c r="M33" s="127" t="s">
        <v>26</v>
      </c>
      <c r="N33" s="117" t="s">
        <v>26</v>
      </c>
      <c r="O33" s="118" t="s">
        <v>26</v>
      </c>
      <c r="P33" s="138" t="s">
        <v>26</v>
      </c>
      <c r="Q33" s="117" t="s">
        <v>26</v>
      </c>
      <c r="R33" s="113"/>
      <c r="S33" s="6"/>
      <c r="T33" s="28"/>
      <c r="U33" s="127">
        <v>33</v>
      </c>
      <c r="V33" s="1083"/>
      <c r="W33" s="102" t="s">
        <v>56</v>
      </c>
      <c r="X33" s="68"/>
      <c r="Y33" s="419">
        <v>1</v>
      </c>
      <c r="Z33" s="138">
        <f t="shared" si="5"/>
        <v>747</v>
      </c>
      <c r="AA33" s="10" t="s">
        <v>26</v>
      </c>
      <c r="AB33" s="376">
        <v>0.5</v>
      </c>
      <c r="AC33" s="138" t="s">
        <v>26</v>
      </c>
      <c r="AD33" s="138" t="s">
        <v>26</v>
      </c>
      <c r="AE33" s="220">
        <v>0.4</v>
      </c>
      <c r="AF33" s="138" t="s">
        <v>26</v>
      </c>
      <c r="AG33" s="325" t="s">
        <v>26</v>
      </c>
      <c r="AH33" s="377" t="s">
        <v>26</v>
      </c>
      <c r="AI33" s="21" t="s">
        <v>26</v>
      </c>
      <c r="AJ33" s="744" t="s">
        <v>26</v>
      </c>
      <c r="AK33" s="744" t="s">
        <v>26</v>
      </c>
      <c r="AL33" s="745" t="s">
        <v>26</v>
      </c>
      <c r="AM33" s="751" t="s">
        <v>26</v>
      </c>
      <c r="AN33" s="745"/>
      <c r="AO33" s="745"/>
      <c r="AP33" s="731"/>
      <c r="AQ33" s="748"/>
      <c r="AR33" s="731"/>
      <c r="AS33" s="740"/>
      <c r="AT33" s="740"/>
      <c r="AU33" s="731"/>
    </row>
    <row r="34" spans="1:47" ht="15" hidden="1" thickBot="1" x14ac:dyDescent="0.35">
      <c r="A34" s="1080"/>
      <c r="B34" s="117">
        <v>42</v>
      </c>
      <c r="C34" s="121">
        <v>7.61</v>
      </c>
      <c r="D34" s="122">
        <v>16.079999999999998</v>
      </c>
      <c r="E34" s="123">
        <f>468</f>
        <v>468</v>
      </c>
      <c r="F34" s="197" t="s">
        <v>26</v>
      </c>
      <c r="G34" s="120">
        <f>140*5</f>
        <v>700</v>
      </c>
      <c r="H34" s="113" t="s">
        <v>26</v>
      </c>
      <c r="I34" s="6" t="s">
        <v>26</v>
      </c>
      <c r="J34" s="127" t="s">
        <v>26</v>
      </c>
      <c r="K34" s="117" t="s">
        <v>26</v>
      </c>
      <c r="L34" s="118" t="s">
        <v>26</v>
      </c>
      <c r="M34" s="127" t="s">
        <v>26</v>
      </c>
      <c r="N34" s="117" t="s">
        <v>26</v>
      </c>
      <c r="O34" s="118" t="s">
        <v>26</v>
      </c>
      <c r="P34" s="138" t="s">
        <v>26</v>
      </c>
      <c r="Q34" s="117" t="s">
        <v>26</v>
      </c>
      <c r="R34" s="121">
        <v>-2.1000000000000001E-2</v>
      </c>
      <c r="S34" s="123">
        <v>-0.20799999999999999</v>
      </c>
      <c r="T34" s="28"/>
      <c r="U34" s="127">
        <v>9.3000000000000007</v>
      </c>
      <c r="V34" s="1083"/>
      <c r="W34" s="102" t="s">
        <v>56</v>
      </c>
      <c r="X34" s="68"/>
      <c r="Y34" s="419">
        <v>1</v>
      </c>
      <c r="Z34" s="138">
        <f t="shared" si="5"/>
        <v>468</v>
      </c>
      <c r="AA34" s="10" t="s">
        <v>26</v>
      </c>
      <c r="AB34" s="376">
        <v>0.5</v>
      </c>
      <c r="AC34" s="138" t="s">
        <v>26</v>
      </c>
      <c r="AD34" s="138" t="s">
        <v>26</v>
      </c>
      <c r="AE34" s="220">
        <v>0.4</v>
      </c>
      <c r="AF34" s="138" t="s">
        <v>26</v>
      </c>
      <c r="AG34" s="325" t="s">
        <v>26</v>
      </c>
      <c r="AH34" s="377" t="s">
        <v>26</v>
      </c>
      <c r="AI34" s="21" t="s">
        <v>26</v>
      </c>
      <c r="AJ34" s="744" t="s">
        <v>26</v>
      </c>
      <c r="AK34" s="744" t="s">
        <v>26</v>
      </c>
      <c r="AL34" s="745" t="s">
        <v>26</v>
      </c>
      <c r="AM34" s="751" t="s">
        <v>26</v>
      </c>
      <c r="AN34" s="745"/>
      <c r="AO34" s="745"/>
      <c r="AP34" s="731"/>
      <c r="AQ34" s="731"/>
      <c r="AR34" s="731"/>
      <c r="AS34" s="740"/>
      <c r="AT34" s="740"/>
      <c r="AU34" s="731"/>
    </row>
    <row r="35" spans="1:47" ht="15" hidden="1" thickBot="1" x14ac:dyDescent="0.35">
      <c r="A35" s="1081"/>
      <c r="B35" s="140">
        <v>114.5</v>
      </c>
      <c r="C35" s="141">
        <v>7.52</v>
      </c>
      <c r="D35" s="142">
        <v>14.47</v>
      </c>
      <c r="E35" s="143">
        <f>21.2*10</f>
        <v>212</v>
      </c>
      <c r="F35" s="143" t="s">
        <v>26</v>
      </c>
      <c r="G35" s="140">
        <f>99.7*5</f>
        <v>498.5</v>
      </c>
      <c r="H35" s="130">
        <v>10.55</v>
      </c>
      <c r="I35" s="54">
        <v>28.9</v>
      </c>
      <c r="J35" s="54">
        <v>341</v>
      </c>
      <c r="K35" s="47" t="s">
        <v>26</v>
      </c>
      <c r="L35" s="129">
        <v>27.6</v>
      </c>
      <c r="M35" s="139">
        <v>82.5</v>
      </c>
      <c r="N35" s="47" t="s">
        <v>26</v>
      </c>
      <c r="O35" s="129" t="s">
        <v>26</v>
      </c>
      <c r="P35" s="139" t="s">
        <v>26</v>
      </c>
      <c r="Q35" s="47" t="s">
        <v>26</v>
      </c>
      <c r="R35" s="135">
        <v>2.1999999999999999E-2</v>
      </c>
      <c r="S35" s="54">
        <v>-0.17100000000000001</v>
      </c>
      <c r="T35" s="53"/>
      <c r="U35" s="54">
        <v>3.39</v>
      </c>
      <c r="V35" s="1084"/>
      <c r="W35" s="685" t="s">
        <v>57</v>
      </c>
      <c r="X35" s="68"/>
      <c r="Y35" s="698">
        <v>1</v>
      </c>
      <c r="Z35" s="699">
        <f t="shared" si="5"/>
        <v>212</v>
      </c>
      <c r="AA35" s="700" t="s">
        <v>26</v>
      </c>
      <c r="AB35" s="477">
        <v>0.5</v>
      </c>
      <c r="AC35" s="335">
        <f>$AB35*J35</f>
        <v>170.5</v>
      </c>
      <c r="AD35" s="337" t="s">
        <v>26</v>
      </c>
      <c r="AE35" s="221">
        <v>0.4</v>
      </c>
      <c r="AF35" s="139">
        <f>$AE35*M35</f>
        <v>33</v>
      </c>
      <c r="AG35" s="337" t="s">
        <v>26</v>
      </c>
      <c r="AH35" s="380"/>
      <c r="AI35" s="300" t="s">
        <v>26</v>
      </c>
      <c r="AJ35" s="744">
        <f>Z35+AC35+AF35+AH35</f>
        <v>415.5</v>
      </c>
      <c r="AK35" s="744" t="s">
        <v>26</v>
      </c>
      <c r="AL35" s="744">
        <f>AJ35-AJ32</f>
        <v>-694.5</v>
      </c>
      <c r="AM35" s="751" t="s">
        <v>26</v>
      </c>
      <c r="AN35" s="745"/>
      <c r="AO35" s="745"/>
      <c r="AP35" s="748">
        <f>(AF35)/Z32</f>
        <v>2.9729729729729731E-2</v>
      </c>
      <c r="AQ35" s="731"/>
      <c r="AR35" s="748">
        <f>(Z32-Z35)/Z32</f>
        <v>0.80900900900900896</v>
      </c>
      <c r="AS35" s="816"/>
      <c r="AT35" s="741"/>
      <c r="AU35" s="733">
        <f>((G32+$T$2)-G35)/(1000*(B35/24))</f>
        <v>0.88171179039301317</v>
      </c>
    </row>
    <row r="36" spans="1:47" ht="15.6" hidden="1" thickTop="1" thickBot="1" x14ac:dyDescent="0.35">
      <c r="A36" s="1079">
        <v>8</v>
      </c>
      <c r="B36" s="114">
        <v>0</v>
      </c>
      <c r="C36" s="144">
        <v>7.74</v>
      </c>
      <c r="D36" s="155">
        <v>19.68</v>
      </c>
      <c r="E36" s="155">
        <f>109*10</f>
        <v>1090</v>
      </c>
      <c r="F36" s="184" t="s">
        <v>26</v>
      </c>
      <c r="G36" s="144">
        <f>391*5</f>
        <v>1955</v>
      </c>
      <c r="H36" s="181">
        <v>7.19</v>
      </c>
      <c r="I36" s="165">
        <v>19.149999999999999</v>
      </c>
      <c r="J36" s="212">
        <v>0</v>
      </c>
      <c r="K36" s="213">
        <v>0</v>
      </c>
      <c r="L36" s="150" t="s">
        <v>26</v>
      </c>
      <c r="M36" s="214">
        <v>0</v>
      </c>
      <c r="N36" s="213">
        <v>0</v>
      </c>
      <c r="O36" s="145" t="s">
        <v>26</v>
      </c>
      <c r="P36" s="215">
        <v>0</v>
      </c>
      <c r="Q36" s="213">
        <v>0</v>
      </c>
      <c r="R36" s="182" t="s">
        <v>26</v>
      </c>
      <c r="S36" s="183" t="s">
        <v>26</v>
      </c>
      <c r="T36" s="212"/>
      <c r="U36" s="232" t="s">
        <v>26</v>
      </c>
      <c r="V36" s="1123">
        <v>300</v>
      </c>
      <c r="W36" s="684" t="s">
        <v>56</v>
      </c>
      <c r="X36" s="68"/>
      <c r="Y36" s="696">
        <v>1</v>
      </c>
      <c r="Z36" s="38">
        <f t="shared" si="5"/>
        <v>1090</v>
      </c>
      <c r="AA36" s="697" t="s">
        <v>26</v>
      </c>
      <c r="AB36" s="687">
        <v>0.48</v>
      </c>
      <c r="AC36" s="361">
        <v>0</v>
      </c>
      <c r="AD36" s="383">
        <v>0</v>
      </c>
      <c r="AE36" s="328">
        <v>0.4</v>
      </c>
      <c r="AF36" s="361">
        <v>0</v>
      </c>
      <c r="AG36" s="361">
        <v>0</v>
      </c>
      <c r="AH36" s="361">
        <v>0</v>
      </c>
      <c r="AI36" s="366">
        <v>0</v>
      </c>
      <c r="AJ36" s="744">
        <f>Z36+AC36+AF36+AH36</f>
        <v>1090</v>
      </c>
      <c r="AK36" s="751">
        <f>AJ36</f>
        <v>1090</v>
      </c>
      <c r="AL36" s="745" t="s">
        <v>26</v>
      </c>
      <c r="AM36" s="751" t="s">
        <v>26</v>
      </c>
      <c r="AN36" s="745"/>
      <c r="AO36" s="745"/>
      <c r="AP36" s="731"/>
      <c r="AQ36" s="731"/>
      <c r="AR36" s="731"/>
      <c r="AS36" s="740"/>
      <c r="AT36" s="740"/>
      <c r="AU36" s="731"/>
    </row>
    <row r="37" spans="1:47" ht="15" hidden="1" thickBot="1" x14ac:dyDescent="0.35">
      <c r="A37" s="1080"/>
      <c r="B37" s="117">
        <v>23</v>
      </c>
      <c r="C37" s="113">
        <v>8.08</v>
      </c>
      <c r="D37" s="138">
        <v>19.2</v>
      </c>
      <c r="E37" s="6">
        <v>862</v>
      </c>
      <c r="F37" s="127" t="s">
        <v>26</v>
      </c>
      <c r="G37" s="117">
        <f>285*5</f>
        <v>1425</v>
      </c>
      <c r="H37" s="113" t="s">
        <v>26</v>
      </c>
      <c r="I37" s="6" t="s">
        <v>26</v>
      </c>
      <c r="J37" s="127" t="s">
        <v>26</v>
      </c>
      <c r="K37" s="117" t="s">
        <v>26</v>
      </c>
      <c r="L37" s="118" t="s">
        <v>26</v>
      </c>
      <c r="M37" s="127" t="s">
        <v>26</v>
      </c>
      <c r="N37" s="117" t="s">
        <v>26</v>
      </c>
      <c r="O37" s="118" t="s">
        <v>26</v>
      </c>
      <c r="P37" s="126" t="s">
        <v>26</v>
      </c>
      <c r="Q37" s="117" t="s">
        <v>26</v>
      </c>
      <c r="R37" s="113">
        <v>5.0999999999999997E-2</v>
      </c>
      <c r="S37" s="6">
        <v>-0.14499999999999999</v>
      </c>
      <c r="T37" s="28"/>
      <c r="U37" s="127" t="s">
        <v>26</v>
      </c>
      <c r="V37" s="1124"/>
      <c r="W37" s="684" t="s">
        <v>56</v>
      </c>
      <c r="X37" s="68"/>
      <c r="Y37" s="692">
        <v>1</v>
      </c>
      <c r="Z37" s="138">
        <f t="shared" si="5"/>
        <v>862</v>
      </c>
      <c r="AA37" s="693" t="s">
        <v>26</v>
      </c>
      <c r="AB37" s="377" t="s">
        <v>26</v>
      </c>
      <c r="AC37" s="138" t="s">
        <v>26</v>
      </c>
      <c r="AD37" s="334" t="s">
        <v>26</v>
      </c>
      <c r="AE37" s="220">
        <v>0.4</v>
      </c>
      <c r="AF37" s="138" t="s">
        <v>26</v>
      </c>
      <c r="AG37" s="334" t="s">
        <v>26</v>
      </c>
      <c r="AH37" s="334" t="s">
        <v>26</v>
      </c>
      <c r="AI37" s="737" t="s">
        <v>26</v>
      </c>
      <c r="AJ37" s="744" t="s">
        <v>26</v>
      </c>
      <c r="AK37" s="744" t="s">
        <v>26</v>
      </c>
      <c r="AL37" s="745" t="s">
        <v>26</v>
      </c>
      <c r="AM37" s="751" t="s">
        <v>26</v>
      </c>
      <c r="AN37" s="745"/>
      <c r="AO37" s="745"/>
      <c r="AP37" s="731"/>
      <c r="AQ37" s="748"/>
      <c r="AR37" s="731"/>
      <c r="AS37" s="740"/>
      <c r="AT37" s="740"/>
      <c r="AU37" s="731"/>
    </row>
    <row r="38" spans="1:47" ht="9.75" hidden="1" customHeight="1" x14ac:dyDescent="0.3">
      <c r="A38" s="1080"/>
      <c r="B38" s="117">
        <v>47</v>
      </c>
      <c r="C38" s="121">
        <v>7.96</v>
      </c>
      <c r="D38" s="122">
        <v>18.309999999999999</v>
      </c>
      <c r="E38" s="123">
        <v>628</v>
      </c>
      <c r="F38" s="197" t="s">
        <v>26</v>
      </c>
      <c r="G38" s="120">
        <f>101*5</f>
        <v>505</v>
      </c>
      <c r="H38" s="113" t="s">
        <v>26</v>
      </c>
      <c r="I38" s="6" t="s">
        <v>26</v>
      </c>
      <c r="J38" s="127" t="s">
        <v>26</v>
      </c>
      <c r="K38" s="117" t="s">
        <v>26</v>
      </c>
      <c r="L38" s="118" t="s">
        <v>26</v>
      </c>
      <c r="M38" s="6" t="s">
        <v>26</v>
      </c>
      <c r="N38" s="117" t="s">
        <v>26</v>
      </c>
      <c r="O38" s="118" t="s">
        <v>26</v>
      </c>
      <c r="P38" s="126" t="s">
        <v>26</v>
      </c>
      <c r="Q38" s="117" t="s">
        <v>26</v>
      </c>
      <c r="R38" s="121">
        <v>-0.17749999999999999</v>
      </c>
      <c r="S38" s="123">
        <v>-0.34499999999999997</v>
      </c>
      <c r="T38" s="28"/>
      <c r="U38" s="127">
        <v>24.26</v>
      </c>
      <c r="V38" s="1124"/>
      <c r="W38" s="684" t="s">
        <v>56</v>
      </c>
      <c r="X38" s="68"/>
      <c r="Y38" s="692">
        <v>1</v>
      </c>
      <c r="Z38" s="138">
        <f t="shared" si="5"/>
        <v>628</v>
      </c>
      <c r="AA38" s="693" t="s">
        <v>26</v>
      </c>
      <c r="AB38" s="377" t="s">
        <v>26</v>
      </c>
      <c r="AC38" s="138" t="s">
        <v>26</v>
      </c>
      <c r="AD38" s="334" t="s">
        <v>26</v>
      </c>
      <c r="AE38" s="220">
        <v>0.4</v>
      </c>
      <c r="AF38" s="138" t="s">
        <v>26</v>
      </c>
      <c r="AG38" s="334" t="s">
        <v>26</v>
      </c>
      <c r="AH38" s="334" t="s">
        <v>26</v>
      </c>
      <c r="AI38" s="737" t="s">
        <v>26</v>
      </c>
      <c r="AJ38" s="744" t="s">
        <v>26</v>
      </c>
      <c r="AK38" s="744" t="s">
        <v>26</v>
      </c>
      <c r="AL38" s="745" t="s">
        <v>26</v>
      </c>
      <c r="AM38" s="751" t="s">
        <v>26</v>
      </c>
      <c r="AN38" s="744" t="e">
        <f>0.02*F38</f>
        <v>#VALUE!</v>
      </c>
      <c r="AO38" s="734"/>
      <c r="AP38" s="731"/>
      <c r="AQ38" s="734"/>
      <c r="AR38" s="731"/>
      <c r="AS38" s="740"/>
      <c r="AT38" s="740"/>
      <c r="AU38" s="731"/>
    </row>
    <row r="39" spans="1:47" ht="13.5" hidden="1" customHeight="1" thickBot="1" x14ac:dyDescent="0.4">
      <c r="A39" s="1137"/>
      <c r="B39" s="674">
        <v>119</v>
      </c>
      <c r="C39" s="675">
        <v>8.0299999999999994</v>
      </c>
      <c r="D39" s="676">
        <v>17.09</v>
      </c>
      <c r="E39" s="677">
        <v>285</v>
      </c>
      <c r="F39" s="677">
        <v>255</v>
      </c>
      <c r="G39" s="674">
        <f>85.8*5</f>
        <v>429</v>
      </c>
      <c r="H39" s="675">
        <v>10.3</v>
      </c>
      <c r="I39" s="677">
        <v>36.1</v>
      </c>
      <c r="J39" s="677">
        <v>355</v>
      </c>
      <c r="K39" s="674">
        <v>360</v>
      </c>
      <c r="L39" s="678">
        <v>30.4</v>
      </c>
      <c r="M39" s="677">
        <v>55.3</v>
      </c>
      <c r="N39" s="674" t="s">
        <v>59</v>
      </c>
      <c r="O39" s="678">
        <v>53.6</v>
      </c>
      <c r="P39" s="676">
        <v>14.5</v>
      </c>
      <c r="Q39" s="674" t="s">
        <v>60</v>
      </c>
      <c r="R39" s="679" t="s">
        <v>26</v>
      </c>
      <c r="S39" s="677" t="s">
        <v>26</v>
      </c>
      <c r="T39" s="680"/>
      <c r="U39" s="674">
        <v>15.4</v>
      </c>
      <c r="V39" s="1125"/>
      <c r="W39" s="686" t="s">
        <v>83</v>
      </c>
      <c r="X39" s="68"/>
      <c r="Y39" s="701">
        <v>1</v>
      </c>
      <c r="Z39" s="676">
        <f t="shared" si="5"/>
        <v>285</v>
      </c>
      <c r="AA39" s="702">
        <f>$Y39*F39</f>
        <v>255</v>
      </c>
      <c r="AB39" s="701">
        <v>0.48</v>
      </c>
      <c r="AC39" s="676">
        <f>$AB39*J39</f>
        <v>170.4</v>
      </c>
      <c r="AD39" s="676">
        <f>$AB39*K39</f>
        <v>172.79999999999998</v>
      </c>
      <c r="AE39" s="616">
        <v>0.4</v>
      </c>
      <c r="AF39" s="126">
        <f>$AE39*M39</f>
        <v>22.12</v>
      </c>
      <c r="AG39" s="259">
        <f>1370*AE39</f>
        <v>548</v>
      </c>
      <c r="AH39" s="386">
        <f>$AE39*P39</f>
        <v>5.8000000000000007</v>
      </c>
      <c r="AI39" s="271">
        <f>20*AE39</f>
        <v>8</v>
      </c>
      <c r="AJ39" s="787">
        <f>Z39+AC39+AF39+AH39</f>
        <v>483.32</v>
      </c>
      <c r="AK39" s="787">
        <f>AA39+AD39+AI39+AG39</f>
        <v>983.8</v>
      </c>
      <c r="AL39" s="787">
        <f>AJ39-AJ36</f>
        <v>-606.68000000000006</v>
      </c>
      <c r="AM39" s="787">
        <f>AK39-AK36</f>
        <v>-106.20000000000005</v>
      </c>
      <c r="AN39" s="788">
        <f>0.02*F39</f>
        <v>5.1000000000000005</v>
      </c>
      <c r="AO39" s="789"/>
      <c r="AP39" s="790">
        <f>(AF39+AH39)/Z36</f>
        <v>2.5614678899082571E-2</v>
      </c>
      <c r="AQ39" s="789"/>
      <c r="AR39" s="790">
        <f>(Z36-Z39)/Z36</f>
        <v>0.73853211009174313</v>
      </c>
      <c r="AS39" s="817"/>
      <c r="AT39" s="909"/>
      <c r="AU39" s="910">
        <f>((G36+$T$2)-G39)/(1000*(B39/24))</f>
        <v>0.87247058823529422</v>
      </c>
    </row>
    <row r="40" spans="1:47" s="299" customFormat="1" ht="21" customHeight="1" thickTop="1" x14ac:dyDescent="0.3">
      <c r="A40" s="1080">
        <v>9</v>
      </c>
      <c r="B40" s="541">
        <v>0</v>
      </c>
      <c r="C40" s="618">
        <v>7.52</v>
      </c>
      <c r="D40" s="543">
        <v>20.329999999999998</v>
      </c>
      <c r="E40" s="543">
        <v>1070</v>
      </c>
      <c r="F40" s="618">
        <f>70.2*20</f>
        <v>1404</v>
      </c>
      <c r="G40" s="618">
        <f>377*5</f>
        <v>1885</v>
      </c>
      <c r="H40" s="665">
        <v>7.68</v>
      </c>
      <c r="I40" s="666">
        <v>20.02</v>
      </c>
      <c r="J40" s="667">
        <v>0</v>
      </c>
      <c r="K40" s="668">
        <v>0</v>
      </c>
      <c r="L40" s="669" t="s">
        <v>26</v>
      </c>
      <c r="M40" s="670">
        <v>0</v>
      </c>
      <c r="N40" s="668">
        <v>0</v>
      </c>
      <c r="O40" s="665" t="s">
        <v>26</v>
      </c>
      <c r="P40" s="671">
        <v>0</v>
      </c>
      <c r="Q40" s="668">
        <v>0</v>
      </c>
      <c r="R40" s="672" t="s">
        <v>26</v>
      </c>
      <c r="S40" s="666" t="s">
        <v>26</v>
      </c>
      <c r="T40" s="728" t="s">
        <v>26</v>
      </c>
      <c r="U40" s="673"/>
      <c r="V40" s="1083">
        <v>150</v>
      </c>
      <c r="W40" s="681" t="s">
        <v>56</v>
      </c>
      <c r="X40" s="682"/>
      <c r="Y40" s="688">
        <f>1-0.02</f>
        <v>0.98</v>
      </c>
      <c r="Z40" s="569">
        <f>($Y40*E40)+AN40</f>
        <v>1070</v>
      </c>
      <c r="AA40" s="569">
        <f>($Y40*F40)+(0.02*F40)</f>
        <v>1404</v>
      </c>
      <c r="AB40" s="688">
        <v>0.48</v>
      </c>
      <c r="AC40" s="569">
        <f>(AB40*J40)+(0.02*J40)</f>
        <v>0</v>
      </c>
      <c r="AD40" s="649">
        <f>(AB40*K40)+(0.02*K40)</f>
        <v>0</v>
      </c>
      <c r="AE40" s="780">
        <v>0.5</v>
      </c>
      <c r="AF40" s="781">
        <v>0</v>
      </c>
      <c r="AG40" s="781">
        <v>0</v>
      </c>
      <c r="AH40" s="782">
        <v>0</v>
      </c>
      <c r="AI40" s="834">
        <v>0</v>
      </c>
      <c r="AJ40" s="836">
        <f>Z40+AC40+AF40+AH40</f>
        <v>1070</v>
      </c>
      <c r="AK40" s="837">
        <f>AA40+AD40+AG40+AI40</f>
        <v>1404</v>
      </c>
      <c r="AL40" s="837" t="s">
        <v>26</v>
      </c>
      <c r="AM40" s="837" t="s">
        <v>26</v>
      </c>
      <c r="AN40" s="837">
        <f t="shared" ref="AN40:AN56" si="6">0.02*E40</f>
        <v>21.400000000000002</v>
      </c>
      <c r="AO40" s="838"/>
      <c r="AP40" s="838"/>
      <c r="AQ40" s="838"/>
      <c r="AR40" s="838"/>
      <c r="AS40" s="908"/>
      <c r="AT40" s="911"/>
      <c r="AU40" s="912"/>
    </row>
    <row r="41" spans="1:47" x14ac:dyDescent="0.3">
      <c r="A41" s="1080"/>
      <c r="B41" s="117">
        <v>23.5</v>
      </c>
      <c r="C41" s="113">
        <v>7.92</v>
      </c>
      <c r="D41" s="138">
        <v>18.57</v>
      </c>
      <c r="E41" s="6">
        <v>698</v>
      </c>
      <c r="F41" s="127" t="s">
        <v>26</v>
      </c>
      <c r="G41" s="117">
        <f>317*5</f>
        <v>1585</v>
      </c>
      <c r="H41" s="113" t="s">
        <v>26</v>
      </c>
      <c r="I41" s="6" t="s">
        <v>26</v>
      </c>
      <c r="J41" s="408" t="s">
        <v>26</v>
      </c>
      <c r="K41" s="480" t="s">
        <v>26</v>
      </c>
      <c r="L41" s="364" t="s">
        <v>26</v>
      </c>
      <c r="M41" s="408" t="s">
        <v>26</v>
      </c>
      <c r="N41" s="480" t="s">
        <v>26</v>
      </c>
      <c r="O41" s="364" t="s">
        <v>26</v>
      </c>
      <c r="P41" s="295" t="s">
        <v>26</v>
      </c>
      <c r="Q41" s="480" t="s">
        <v>26</v>
      </c>
      <c r="R41" s="113" t="s">
        <v>26</v>
      </c>
      <c r="S41" s="6" t="s">
        <v>26</v>
      </c>
      <c r="T41" s="8" t="s">
        <v>26</v>
      </c>
      <c r="U41" s="242"/>
      <c r="V41" s="1083"/>
      <c r="W41" s="645" t="s">
        <v>56</v>
      </c>
      <c r="X41" s="573"/>
      <c r="Y41" s="419">
        <f>Y40-0.02</f>
        <v>0.96</v>
      </c>
      <c r="Z41" s="138">
        <f>($Y41*E41)+SUM(AN40:AN41)</f>
        <v>705.43999999999994</v>
      </c>
      <c r="AA41" s="138" t="s">
        <v>26</v>
      </c>
      <c r="AB41" s="419" t="s">
        <v>26</v>
      </c>
      <c r="AC41" s="138" t="s">
        <v>26</v>
      </c>
      <c r="AD41" s="6" t="s">
        <v>26</v>
      </c>
      <c r="AE41" s="783">
        <v>0.5</v>
      </c>
      <c r="AF41" s="325" t="s">
        <v>26</v>
      </c>
      <c r="AG41" s="325" t="s">
        <v>26</v>
      </c>
      <c r="AH41" s="334" t="s">
        <v>26</v>
      </c>
      <c r="AI41" s="737" t="s">
        <v>26</v>
      </c>
      <c r="AJ41" s="324" t="s">
        <v>26</v>
      </c>
      <c r="AK41" s="325" t="s">
        <v>26</v>
      </c>
      <c r="AL41" s="325" t="s">
        <v>26</v>
      </c>
      <c r="AM41" s="334" t="s">
        <v>26</v>
      </c>
      <c r="AN41" s="334">
        <f t="shared" si="6"/>
        <v>13.96</v>
      </c>
      <c r="AO41" s="7"/>
      <c r="AP41" s="302"/>
      <c r="AQ41" s="7"/>
      <c r="AR41" s="302"/>
      <c r="AS41" s="535"/>
      <c r="AT41" s="30"/>
      <c r="AU41" s="31"/>
    </row>
    <row r="42" spans="1:47" x14ac:dyDescent="0.3">
      <c r="A42" s="1080"/>
      <c r="B42" s="117">
        <v>96</v>
      </c>
      <c r="C42" s="113">
        <v>7.89</v>
      </c>
      <c r="D42" s="138">
        <v>15.73</v>
      </c>
      <c r="E42" s="6">
        <v>291</v>
      </c>
      <c r="F42" s="127" t="s">
        <v>26</v>
      </c>
      <c r="G42" s="117">
        <f>109*5</f>
        <v>545</v>
      </c>
      <c r="H42" s="113" t="s">
        <v>26</v>
      </c>
      <c r="I42" s="6" t="s">
        <v>26</v>
      </c>
      <c r="J42" s="408" t="s">
        <v>26</v>
      </c>
      <c r="K42" s="480" t="s">
        <v>26</v>
      </c>
      <c r="L42" s="364" t="s">
        <v>26</v>
      </c>
      <c r="M42" s="21" t="s">
        <v>26</v>
      </c>
      <c r="N42" s="480" t="s">
        <v>26</v>
      </c>
      <c r="O42" s="364" t="s">
        <v>26</v>
      </c>
      <c r="P42" s="295" t="s">
        <v>26</v>
      </c>
      <c r="Q42" s="480" t="s">
        <v>26</v>
      </c>
      <c r="R42" s="113" t="s">
        <v>26</v>
      </c>
      <c r="S42" s="6" t="s">
        <v>26</v>
      </c>
      <c r="T42" s="8" t="s">
        <v>26</v>
      </c>
      <c r="U42" s="242"/>
      <c r="V42" s="1083"/>
      <c r="W42" s="645" t="s">
        <v>56</v>
      </c>
      <c r="X42" s="573"/>
      <c r="Y42" s="419">
        <f t="shared" ref="Y42:Y43" si="7">Y41-0.02</f>
        <v>0.94</v>
      </c>
      <c r="Z42" s="138">
        <f>($Y42*E42)+SUM(AN40:AN42)</f>
        <v>314.71999999999997</v>
      </c>
      <c r="AA42" s="138" t="s">
        <v>26</v>
      </c>
      <c r="AB42" s="419" t="s">
        <v>26</v>
      </c>
      <c r="AC42" s="138" t="s">
        <v>26</v>
      </c>
      <c r="AD42" s="6" t="s">
        <v>26</v>
      </c>
      <c r="AE42" s="783">
        <v>0.5</v>
      </c>
      <c r="AF42" s="325" t="s">
        <v>26</v>
      </c>
      <c r="AG42" s="325" t="s">
        <v>26</v>
      </c>
      <c r="AH42" s="334" t="s">
        <v>26</v>
      </c>
      <c r="AI42" s="737" t="s">
        <v>26</v>
      </c>
      <c r="AJ42" s="324" t="s">
        <v>26</v>
      </c>
      <c r="AK42" s="325" t="s">
        <v>26</v>
      </c>
      <c r="AL42" s="325" t="s">
        <v>26</v>
      </c>
      <c r="AM42" s="334" t="s">
        <v>26</v>
      </c>
      <c r="AN42" s="334">
        <f t="shared" si="6"/>
        <v>5.82</v>
      </c>
      <c r="AO42" s="7"/>
      <c r="AP42" s="302"/>
      <c r="AQ42" s="7"/>
      <c r="AR42" s="302"/>
      <c r="AS42" s="535"/>
      <c r="AT42" s="30"/>
      <c r="AU42" s="31"/>
    </row>
    <row r="43" spans="1:47" ht="28.8" x14ac:dyDescent="0.3">
      <c r="A43" s="1080"/>
      <c r="B43" s="117" t="s">
        <v>136</v>
      </c>
      <c r="C43" s="619">
        <v>7.91</v>
      </c>
      <c r="D43" s="126">
        <v>16.55</v>
      </c>
      <c r="E43" s="127">
        <v>261</v>
      </c>
      <c r="F43" s="127" t="s">
        <v>26</v>
      </c>
      <c r="G43" s="117">
        <v>1335</v>
      </c>
      <c r="H43" s="113" t="s">
        <v>26</v>
      </c>
      <c r="I43" s="6" t="s">
        <v>26</v>
      </c>
      <c r="J43" s="408" t="s">
        <v>26</v>
      </c>
      <c r="K43" s="480" t="s">
        <v>26</v>
      </c>
      <c r="L43" s="364" t="s">
        <v>26</v>
      </c>
      <c r="M43" s="21" t="s">
        <v>26</v>
      </c>
      <c r="N43" s="480" t="s">
        <v>26</v>
      </c>
      <c r="O43" s="364" t="s">
        <v>26</v>
      </c>
      <c r="P43" s="295" t="s">
        <v>26</v>
      </c>
      <c r="Q43" s="480" t="s">
        <v>26</v>
      </c>
      <c r="R43" s="113" t="s">
        <v>26</v>
      </c>
      <c r="S43" s="6" t="s">
        <v>26</v>
      </c>
      <c r="T43" s="8" t="s">
        <v>26</v>
      </c>
      <c r="U43" s="31"/>
      <c r="V43" s="1083"/>
      <c r="W43" s="646" t="s">
        <v>189</v>
      </c>
      <c r="X43" s="573"/>
      <c r="Y43" s="419">
        <f t="shared" si="7"/>
        <v>0.91999999999999993</v>
      </c>
      <c r="Z43" s="138">
        <f>($Y43*E43)+SUM(AN40:AN43)</f>
        <v>286.52</v>
      </c>
      <c r="AA43" s="138" t="s">
        <v>26</v>
      </c>
      <c r="AB43" s="419" t="s">
        <v>26</v>
      </c>
      <c r="AC43" s="138" t="s">
        <v>26</v>
      </c>
      <c r="AD43" s="6" t="s">
        <v>26</v>
      </c>
      <c r="AE43" s="783">
        <v>0.5</v>
      </c>
      <c r="AF43" s="325" t="s">
        <v>26</v>
      </c>
      <c r="AG43" s="325" t="s">
        <v>26</v>
      </c>
      <c r="AH43" s="334" t="s">
        <v>26</v>
      </c>
      <c r="AI43" s="737" t="s">
        <v>26</v>
      </c>
      <c r="AJ43" s="324" t="s">
        <v>26</v>
      </c>
      <c r="AK43" s="325" t="s">
        <v>26</v>
      </c>
      <c r="AL43" s="325" t="s">
        <v>26</v>
      </c>
      <c r="AM43" s="334" t="s">
        <v>26</v>
      </c>
      <c r="AN43" s="334">
        <f t="shared" si="6"/>
        <v>5.22</v>
      </c>
      <c r="AO43" s="7"/>
      <c r="AP43" s="302"/>
      <c r="AQ43" s="7"/>
      <c r="AR43" s="302"/>
      <c r="AS43" s="535"/>
      <c r="AT43" s="30"/>
      <c r="AU43" s="31"/>
    </row>
    <row r="44" spans="1:47" s="311" customFormat="1" ht="15" thickBot="1" x14ac:dyDescent="0.35">
      <c r="A44" s="1081"/>
      <c r="B44" s="305">
        <v>120</v>
      </c>
      <c r="C44" s="306">
        <v>7.59</v>
      </c>
      <c r="D44" s="307">
        <v>15.74</v>
      </c>
      <c r="E44" s="308">
        <v>203</v>
      </c>
      <c r="F44" s="308">
        <v>311</v>
      </c>
      <c r="G44" s="305">
        <f>129*5</f>
        <v>645</v>
      </c>
      <c r="H44" s="306">
        <v>12.08</v>
      </c>
      <c r="I44" s="308">
        <v>32.5</v>
      </c>
      <c r="J44" s="313">
        <v>451</v>
      </c>
      <c r="K44" s="481">
        <v>652</v>
      </c>
      <c r="L44" s="482">
        <v>37.700000000000003</v>
      </c>
      <c r="M44" s="313">
        <f>128*10</f>
        <v>1280</v>
      </c>
      <c r="N44" s="481">
        <f>31.3*40</f>
        <v>1252</v>
      </c>
      <c r="O44" s="482">
        <v>56.4</v>
      </c>
      <c r="P44" s="483">
        <v>0.129</v>
      </c>
      <c r="Q44" s="481">
        <v>20.100000000000001</v>
      </c>
      <c r="R44" s="312" t="s">
        <v>26</v>
      </c>
      <c r="S44" s="308" t="s">
        <v>26</v>
      </c>
      <c r="T44" s="313">
        <v>0.2</v>
      </c>
      <c r="U44" s="308">
        <v>27.2</v>
      </c>
      <c r="V44" s="1084"/>
      <c r="W44" s="647" t="s">
        <v>86</v>
      </c>
      <c r="X44" s="766"/>
      <c r="Y44" s="417">
        <f>Y43</f>
        <v>0.91999999999999993</v>
      </c>
      <c r="Z44" s="307">
        <f>($Y44*E44)+SUM(AN40:AN43)</f>
        <v>233.16</v>
      </c>
      <c r="AA44" s="307">
        <f>($Y44*F44)+(0.02*F40)</f>
        <v>314.2</v>
      </c>
      <c r="AB44" s="417">
        <f>0.48</f>
        <v>0.48</v>
      </c>
      <c r="AC44" s="307">
        <f>(AB44*J44)+(0.02*J40)</f>
        <v>216.48</v>
      </c>
      <c r="AD44" s="308">
        <f>(AB44*K44)+(0.02*K40)</f>
        <v>312.95999999999998</v>
      </c>
      <c r="AE44" s="784">
        <v>0.5</v>
      </c>
      <c r="AF44" s="785">
        <f>$AE44*M44</f>
        <v>640</v>
      </c>
      <c r="AG44" s="785">
        <f>$AE44*N44</f>
        <v>626</v>
      </c>
      <c r="AH44" s="786">
        <f>$AE44*P44</f>
        <v>6.4500000000000002E-2</v>
      </c>
      <c r="AI44" s="835">
        <f>$AE44*Q44</f>
        <v>10.050000000000001</v>
      </c>
      <c r="AJ44" s="409">
        <f>Z44+AC44+AF44+AH44</f>
        <v>1089.7044999999998</v>
      </c>
      <c r="AK44" s="388">
        <f>AA44+AD44+AG44+AI44</f>
        <v>1263.2099999999998</v>
      </c>
      <c r="AL44" s="388">
        <f>AJ44-AJ40</f>
        <v>19.704499999999825</v>
      </c>
      <c r="AM44" s="388">
        <f>AK44-AK40</f>
        <v>-140.79000000000019</v>
      </c>
      <c r="AN44" s="388" t="s">
        <v>26</v>
      </c>
      <c r="AO44" s="388">
        <f>(AF44+AH44)*10/100/(B44/24)</f>
        <v>12.80129</v>
      </c>
      <c r="AP44" s="529">
        <f>(AF44+AH44)/Z40</f>
        <v>0.59819112149532705</v>
      </c>
      <c r="AQ44" s="537">
        <f>(Z40-Z44)*10/100/(B44/24)</f>
        <v>16.736799999999999</v>
      </c>
      <c r="AR44" s="840">
        <f>(Z40-Z44)/Z40</f>
        <v>0.78209345794392526</v>
      </c>
      <c r="AS44" s="851">
        <f>((AC44+AF44)-AC40)/Z40</f>
        <v>0.80044859813084113</v>
      </c>
      <c r="AT44" s="472">
        <f>(((G40+$T$1)-G44)*10000)/(1000*1000*100*(B44/24))</f>
        <v>6.6799999999999998E-2</v>
      </c>
      <c r="AU44" s="900">
        <f>((G40+$T$1)-G44)/(1000*(B44/24))</f>
        <v>0.66800000000000004</v>
      </c>
    </row>
    <row r="45" spans="1:47" ht="15" thickTop="1" x14ac:dyDescent="0.3">
      <c r="A45" s="1079">
        <v>10</v>
      </c>
      <c r="B45" s="114">
        <v>0</v>
      </c>
      <c r="C45" s="610">
        <v>7.58</v>
      </c>
      <c r="D45" s="621">
        <v>19.62</v>
      </c>
      <c r="E45" s="621">
        <v>1130</v>
      </c>
      <c r="F45" s="610">
        <f>69.8*20</f>
        <v>1396</v>
      </c>
      <c r="G45" s="610">
        <f>378*5</f>
        <v>1890</v>
      </c>
      <c r="H45" s="181">
        <v>7.74</v>
      </c>
      <c r="I45" s="615">
        <v>20</v>
      </c>
      <c r="J45" s="246">
        <v>0</v>
      </c>
      <c r="K45" s="247">
        <v>0</v>
      </c>
      <c r="L45" s="484" t="s">
        <v>26</v>
      </c>
      <c r="M45" s="79">
        <v>0</v>
      </c>
      <c r="N45" s="247">
        <v>0</v>
      </c>
      <c r="O45" s="181" t="s">
        <v>26</v>
      </c>
      <c r="P45" s="485">
        <v>0</v>
      </c>
      <c r="Q45" s="247">
        <v>0</v>
      </c>
      <c r="R45" s="612" t="s">
        <v>26</v>
      </c>
      <c r="S45" s="615" t="s">
        <v>26</v>
      </c>
      <c r="T45" s="246" t="s">
        <v>26</v>
      </c>
      <c r="U45" s="241"/>
      <c r="V45" s="1082">
        <v>150</v>
      </c>
      <c r="W45" s="645" t="s">
        <v>56</v>
      </c>
      <c r="X45" s="573"/>
      <c r="Y45" s="405">
        <f>1-0.02</f>
        <v>0.98</v>
      </c>
      <c r="Z45" s="323">
        <f>($Y45*E45)+AN45</f>
        <v>1130</v>
      </c>
      <c r="AA45" s="323">
        <f>($Y45*F45)+(0.02*F45)</f>
        <v>1396</v>
      </c>
      <c r="AB45" s="405">
        <v>0.48</v>
      </c>
      <c r="AC45" s="323">
        <f>(AB45*J45)+(0.02*J45)</f>
        <v>0</v>
      </c>
      <c r="AD45" s="323">
        <f>(AB45*K45)+(0.02*K45)</f>
        <v>0</v>
      </c>
      <c r="AE45" s="514">
        <v>0.5</v>
      </c>
      <c r="AF45" s="79">
        <f>$AE45*M45</f>
        <v>0</v>
      </c>
      <c r="AG45" s="79">
        <f>$AE45*N45</f>
        <v>0</v>
      </c>
      <c r="AH45" s="394">
        <f>$AE45*P45</f>
        <v>0</v>
      </c>
      <c r="AI45" s="394">
        <v>0</v>
      </c>
      <c r="AJ45" s="393">
        <f>Z45+AC45+AF45+AH45</f>
        <v>1130</v>
      </c>
      <c r="AK45" s="394">
        <f>AA45+AD45+AG45+AI45</f>
        <v>1396</v>
      </c>
      <c r="AL45" s="394" t="s">
        <v>26</v>
      </c>
      <c r="AM45" s="394" t="s">
        <v>26</v>
      </c>
      <c r="AN45" s="394">
        <f t="shared" si="6"/>
        <v>22.6</v>
      </c>
      <c r="AO45" s="532"/>
      <c r="AP45" s="532"/>
      <c r="AQ45" s="532"/>
      <c r="AR45" s="301"/>
      <c r="AS45" s="818"/>
      <c r="AT45" s="41"/>
      <c r="AU45" s="44"/>
    </row>
    <row r="46" spans="1:47" x14ac:dyDescent="0.3">
      <c r="A46" s="1080"/>
      <c r="B46" s="117">
        <v>24</v>
      </c>
      <c r="C46" s="113">
        <v>7.77</v>
      </c>
      <c r="D46" s="138">
        <v>18.2</v>
      </c>
      <c r="E46" s="6">
        <v>694</v>
      </c>
      <c r="F46" s="127" t="s">
        <v>26</v>
      </c>
      <c r="G46" s="117">
        <f>266*5</f>
        <v>1330</v>
      </c>
      <c r="H46" s="113" t="s">
        <v>26</v>
      </c>
      <c r="I46" s="6" t="s">
        <v>26</v>
      </c>
      <c r="J46" s="408" t="s">
        <v>26</v>
      </c>
      <c r="K46" s="480" t="s">
        <v>26</v>
      </c>
      <c r="L46" s="364" t="s">
        <v>26</v>
      </c>
      <c r="M46" s="408" t="s">
        <v>26</v>
      </c>
      <c r="N46" s="480" t="s">
        <v>26</v>
      </c>
      <c r="O46" s="364" t="s">
        <v>26</v>
      </c>
      <c r="P46" s="295" t="s">
        <v>26</v>
      </c>
      <c r="Q46" s="480" t="s">
        <v>26</v>
      </c>
      <c r="R46" s="113">
        <v>-0.32229999999999998</v>
      </c>
      <c r="S46" s="6">
        <v>-0.44059999999999999</v>
      </c>
      <c r="T46" s="21" t="s">
        <v>26</v>
      </c>
      <c r="U46" s="242"/>
      <c r="V46" s="1083"/>
      <c r="W46" s="645" t="s">
        <v>56</v>
      </c>
      <c r="X46" s="573"/>
      <c r="Y46" s="419">
        <f>Y45-0.02</f>
        <v>0.96</v>
      </c>
      <c r="Z46" s="138">
        <f>($Y46*E46)+SUM(AN45:AN46)</f>
        <v>702.72</v>
      </c>
      <c r="AA46" s="138" t="s">
        <v>26</v>
      </c>
      <c r="AB46" s="419" t="s">
        <v>26</v>
      </c>
      <c r="AC46" s="138" t="s">
        <v>26</v>
      </c>
      <c r="AD46" s="138" t="s">
        <v>26</v>
      </c>
      <c r="AE46" s="333">
        <v>0.5</v>
      </c>
      <c r="AF46" s="325" t="s">
        <v>26</v>
      </c>
      <c r="AG46" s="325" t="s">
        <v>26</v>
      </c>
      <c r="AH46" s="334" t="s">
        <v>26</v>
      </c>
      <c r="AI46" s="334" t="s">
        <v>26</v>
      </c>
      <c r="AJ46" s="333" t="s">
        <v>26</v>
      </c>
      <c r="AK46" s="325" t="s">
        <v>26</v>
      </c>
      <c r="AL46" s="325" t="s">
        <v>26</v>
      </c>
      <c r="AM46" s="334" t="s">
        <v>26</v>
      </c>
      <c r="AN46" s="334">
        <f t="shared" si="6"/>
        <v>13.88</v>
      </c>
      <c r="AO46" s="42"/>
      <c r="AP46" s="302"/>
      <c r="AQ46" s="43"/>
      <c r="AR46" s="302"/>
      <c r="AS46" s="819"/>
      <c r="AT46" s="30"/>
      <c r="AU46" s="31"/>
    </row>
    <row r="47" spans="1:47" ht="28.8" x14ac:dyDescent="0.3">
      <c r="A47" s="1080"/>
      <c r="B47" s="117" t="s">
        <v>137</v>
      </c>
      <c r="C47" s="113">
        <v>7.87</v>
      </c>
      <c r="D47" s="138">
        <v>22.9</v>
      </c>
      <c r="E47" s="6">
        <v>694</v>
      </c>
      <c r="F47" s="127" t="s">
        <v>26</v>
      </c>
      <c r="G47" s="117">
        <f>1138*2</f>
        <v>2276</v>
      </c>
      <c r="H47" s="113" t="s">
        <v>26</v>
      </c>
      <c r="I47" s="6" t="s">
        <v>26</v>
      </c>
      <c r="J47" s="408" t="s">
        <v>26</v>
      </c>
      <c r="K47" s="480" t="s">
        <v>26</v>
      </c>
      <c r="L47" s="364" t="s">
        <v>26</v>
      </c>
      <c r="M47" s="21" t="s">
        <v>26</v>
      </c>
      <c r="N47" s="480" t="s">
        <v>26</v>
      </c>
      <c r="O47" s="364" t="s">
        <v>26</v>
      </c>
      <c r="P47" s="295" t="s">
        <v>26</v>
      </c>
      <c r="Q47" s="480" t="s">
        <v>26</v>
      </c>
      <c r="R47" s="113" t="s">
        <v>26</v>
      </c>
      <c r="S47" s="6" t="s">
        <v>26</v>
      </c>
      <c r="T47" s="21" t="s">
        <v>26</v>
      </c>
      <c r="U47" s="242"/>
      <c r="V47" s="1083"/>
      <c r="W47" s="646" t="s">
        <v>189</v>
      </c>
      <c r="X47" s="573"/>
      <c r="Y47" s="419">
        <f t="shared" ref="Y47:Y48" si="8">Y46-0.02</f>
        <v>0.94</v>
      </c>
      <c r="Z47" s="138">
        <f>($Y47*E47)+SUM(AN45:AN47)</f>
        <v>702.72</v>
      </c>
      <c r="AA47" s="138" t="s">
        <v>26</v>
      </c>
      <c r="AB47" s="419" t="s">
        <v>26</v>
      </c>
      <c r="AC47" s="138" t="s">
        <v>26</v>
      </c>
      <c r="AD47" s="138" t="s">
        <v>26</v>
      </c>
      <c r="AE47" s="333">
        <v>0.5</v>
      </c>
      <c r="AF47" s="325" t="s">
        <v>26</v>
      </c>
      <c r="AG47" s="325" t="s">
        <v>26</v>
      </c>
      <c r="AH47" s="334" t="s">
        <v>26</v>
      </c>
      <c r="AI47" s="334" t="s">
        <v>26</v>
      </c>
      <c r="AJ47" s="333" t="s">
        <v>26</v>
      </c>
      <c r="AK47" s="325" t="s">
        <v>26</v>
      </c>
      <c r="AL47" s="325" t="s">
        <v>26</v>
      </c>
      <c r="AM47" s="334" t="s">
        <v>26</v>
      </c>
      <c r="AN47" s="334">
        <f t="shared" si="6"/>
        <v>13.88</v>
      </c>
      <c r="AO47" s="7"/>
      <c r="AP47" s="302"/>
      <c r="AQ47" s="35"/>
      <c r="AR47" s="302"/>
      <c r="AS47" s="819"/>
      <c r="AT47" s="30"/>
      <c r="AU47" s="31"/>
    </row>
    <row r="48" spans="1:47" x14ac:dyDescent="0.3">
      <c r="A48" s="1080"/>
      <c r="B48" s="117">
        <v>90</v>
      </c>
      <c r="C48" s="619">
        <v>7.68</v>
      </c>
      <c r="D48" s="126">
        <v>16.12</v>
      </c>
      <c r="E48" s="127">
        <f>57.8*5</f>
        <v>289</v>
      </c>
      <c r="F48" s="127" t="s">
        <v>26</v>
      </c>
      <c r="G48" s="117">
        <f>271*5</f>
        <v>1355</v>
      </c>
      <c r="H48" s="113" t="s">
        <v>26</v>
      </c>
      <c r="I48" s="6" t="s">
        <v>26</v>
      </c>
      <c r="J48" s="408" t="s">
        <v>26</v>
      </c>
      <c r="K48" s="480" t="s">
        <v>26</v>
      </c>
      <c r="L48" s="364" t="s">
        <v>26</v>
      </c>
      <c r="M48" s="21" t="s">
        <v>26</v>
      </c>
      <c r="N48" s="480" t="s">
        <v>26</v>
      </c>
      <c r="O48" s="364" t="s">
        <v>26</v>
      </c>
      <c r="P48" s="295" t="s">
        <v>26</v>
      </c>
      <c r="Q48" s="480" t="s">
        <v>26</v>
      </c>
      <c r="R48" s="113">
        <v>-0.35270000000000001</v>
      </c>
      <c r="S48" s="6">
        <v>-0.48</v>
      </c>
      <c r="T48" s="21" t="s">
        <v>26</v>
      </c>
      <c r="U48" s="31"/>
      <c r="V48" s="1083"/>
      <c r="W48" s="645" t="s">
        <v>56</v>
      </c>
      <c r="X48" s="573"/>
      <c r="Y48" s="419">
        <f t="shared" si="8"/>
        <v>0.91999999999999993</v>
      </c>
      <c r="Z48" s="138">
        <f>($Y48*E48)+SUM(AN45:AN48)</f>
        <v>322.02</v>
      </c>
      <c r="AA48" s="138" t="s">
        <v>26</v>
      </c>
      <c r="AB48" s="419" t="s">
        <v>26</v>
      </c>
      <c r="AC48" s="138" t="s">
        <v>26</v>
      </c>
      <c r="AD48" s="138" t="s">
        <v>26</v>
      </c>
      <c r="AE48" s="333">
        <v>0.5</v>
      </c>
      <c r="AF48" s="325" t="s">
        <v>26</v>
      </c>
      <c r="AG48" s="325" t="s">
        <v>26</v>
      </c>
      <c r="AH48" s="334" t="s">
        <v>26</v>
      </c>
      <c r="AI48" s="334" t="s">
        <v>26</v>
      </c>
      <c r="AJ48" s="333" t="s">
        <v>26</v>
      </c>
      <c r="AK48" s="325" t="s">
        <v>26</v>
      </c>
      <c r="AL48" s="325" t="s">
        <v>26</v>
      </c>
      <c r="AM48" s="334" t="s">
        <v>26</v>
      </c>
      <c r="AN48" s="334">
        <f t="shared" si="6"/>
        <v>5.78</v>
      </c>
      <c r="AO48" s="7"/>
      <c r="AP48" s="302"/>
      <c r="AQ48" s="35"/>
      <c r="AR48" s="302"/>
      <c r="AS48" s="819"/>
      <c r="AT48" s="30"/>
      <c r="AU48" s="31"/>
    </row>
    <row r="49" spans="1:47" s="311" customFormat="1" ht="15" thickBot="1" x14ac:dyDescent="0.35">
      <c r="A49" s="1081"/>
      <c r="B49" s="305">
        <v>120</v>
      </c>
      <c r="C49" s="306">
        <v>7.63</v>
      </c>
      <c r="D49" s="307">
        <v>15.44</v>
      </c>
      <c r="E49" s="308">
        <v>219</v>
      </c>
      <c r="F49" s="308">
        <v>273</v>
      </c>
      <c r="G49" s="305">
        <v>330.5</v>
      </c>
      <c r="H49" s="306">
        <v>11.99</v>
      </c>
      <c r="I49" s="308">
        <v>29.8</v>
      </c>
      <c r="J49" s="313">
        <v>585</v>
      </c>
      <c r="K49" s="481">
        <v>678</v>
      </c>
      <c r="L49" s="482">
        <v>37.299999999999997</v>
      </c>
      <c r="M49" s="313">
        <v>982</v>
      </c>
      <c r="N49" s="481">
        <f>50.6*20</f>
        <v>1012</v>
      </c>
      <c r="O49" s="482">
        <v>58.7</v>
      </c>
      <c r="P49" s="483">
        <v>3.9E-2</v>
      </c>
      <c r="Q49" s="481">
        <v>14.7</v>
      </c>
      <c r="R49" s="312">
        <v>-0.33189999999999997</v>
      </c>
      <c r="S49" s="308">
        <v>-0.4632</v>
      </c>
      <c r="T49" s="313">
        <v>0.2</v>
      </c>
      <c r="U49" s="308">
        <v>24.5</v>
      </c>
      <c r="V49" s="1084"/>
      <c r="W49" s="662" t="s">
        <v>164</v>
      </c>
      <c r="X49" s="766"/>
      <c r="Y49" s="417">
        <f>Y48</f>
        <v>0.91999999999999993</v>
      </c>
      <c r="Z49" s="307">
        <f>($Y49*E49)+SUM(AN45:AN48)</f>
        <v>257.62</v>
      </c>
      <c r="AA49" s="307">
        <f>($Y49*F49)+(0.02*F49)</f>
        <v>256.61999999999995</v>
      </c>
      <c r="AB49" s="417">
        <v>0.48</v>
      </c>
      <c r="AC49" s="307">
        <f>(AB49*J49)+(0.02*J49)</f>
        <v>292.5</v>
      </c>
      <c r="AD49" s="307">
        <f>(AB49*K49)+(0.02*K49)</f>
        <v>339</v>
      </c>
      <c r="AE49" s="510">
        <v>0.5</v>
      </c>
      <c r="AF49" s="483">
        <f>$AE49*M49</f>
        <v>491</v>
      </c>
      <c r="AG49" s="483">
        <f>$AE49*N49</f>
        <v>506</v>
      </c>
      <c r="AH49" s="388">
        <f>$AE49*P49</f>
        <v>1.95E-2</v>
      </c>
      <c r="AI49" s="388">
        <f>$AE49*Q49</f>
        <v>7.35</v>
      </c>
      <c r="AJ49" s="387">
        <f>Z49+AC49+AF49+AH49</f>
        <v>1041.1395</v>
      </c>
      <c r="AK49" s="388">
        <f>AA49+AD49+AG49+AI49</f>
        <v>1108.9699999999998</v>
      </c>
      <c r="AL49" s="388">
        <f>AJ49-AJ45</f>
        <v>-88.860500000000002</v>
      </c>
      <c r="AM49" s="388">
        <f>AK49-AK45</f>
        <v>-287.0300000000002</v>
      </c>
      <c r="AN49" s="388" t="s">
        <v>26</v>
      </c>
      <c r="AO49" s="388">
        <f>(AF49+AH49)*10/100/(B49/24)</f>
        <v>9.8203899999999997</v>
      </c>
      <c r="AP49" s="529">
        <f>(AF49+AH49)/Z45</f>
        <v>0.43453053097345135</v>
      </c>
      <c r="AQ49" s="537">
        <f>(Z45-Z49)*10/100/(B49/24)</f>
        <v>17.447600000000001</v>
      </c>
      <c r="AR49" s="529">
        <f>(Z45-Z49)/Z45</f>
        <v>0.77201769911504425</v>
      </c>
      <c r="AS49" s="851">
        <f>((AC49+AF49)-AC45)/Z45</f>
        <v>0.69336283185840708</v>
      </c>
      <c r="AT49" s="472">
        <f>AU49/10</f>
        <v>7.3190000000000005E-2</v>
      </c>
      <c r="AU49" s="900">
        <f>((G45+$T$1)-G49)/(1000*(B49/24))</f>
        <v>0.7319</v>
      </c>
    </row>
    <row r="50" spans="1:47" ht="15" thickTop="1" x14ac:dyDescent="0.3">
      <c r="A50" s="1079">
        <v>11</v>
      </c>
      <c r="B50" s="114">
        <v>0</v>
      </c>
      <c r="C50" s="610">
        <v>7.67</v>
      </c>
      <c r="D50" s="621">
        <v>19.190000000000001</v>
      </c>
      <c r="E50" s="621">
        <v>1001</v>
      </c>
      <c r="F50" s="610">
        <f>73.8*20</f>
        <v>1476</v>
      </c>
      <c r="G50" s="610">
        <f>357*5</f>
        <v>1785</v>
      </c>
      <c r="H50" s="181">
        <v>7.33</v>
      </c>
      <c r="I50" s="615">
        <v>19.63</v>
      </c>
      <c r="J50" s="246">
        <v>0</v>
      </c>
      <c r="K50" s="247">
        <v>0</v>
      </c>
      <c r="L50" s="484" t="s">
        <v>26</v>
      </c>
      <c r="M50" s="79">
        <v>0</v>
      </c>
      <c r="N50" s="247">
        <v>0</v>
      </c>
      <c r="O50" s="181" t="s">
        <v>26</v>
      </c>
      <c r="P50" s="485">
        <v>0</v>
      </c>
      <c r="Q50" s="247">
        <v>0</v>
      </c>
      <c r="R50" s="612" t="s">
        <v>26</v>
      </c>
      <c r="S50" s="615" t="s">
        <v>26</v>
      </c>
      <c r="T50" s="246" t="s">
        <v>26</v>
      </c>
      <c r="U50" s="241"/>
      <c r="V50" s="1082">
        <v>150</v>
      </c>
      <c r="W50" s="645" t="s">
        <v>56</v>
      </c>
      <c r="X50" s="573"/>
      <c r="Y50" s="405">
        <f>1-0.02</f>
        <v>0.98</v>
      </c>
      <c r="Z50" s="323">
        <f>($Y50*E50)+AN50</f>
        <v>1001</v>
      </c>
      <c r="AA50" s="323">
        <f>($Y50*F50)+(0.02*F50)</f>
        <v>1476</v>
      </c>
      <c r="AB50" s="405">
        <v>0.48</v>
      </c>
      <c r="AC50" s="323">
        <f>(AB50*J50)+(0.02*J50)</f>
        <v>0</v>
      </c>
      <c r="AD50" s="323">
        <f>(AB50*K50)+(0.02*K50)</f>
        <v>0</v>
      </c>
      <c r="AE50" s="330">
        <v>0.5</v>
      </c>
      <c r="AF50" s="367">
        <f>$AE50*M50</f>
        <v>0</v>
      </c>
      <c r="AG50" s="367">
        <f>$AE50*N50</f>
        <v>0</v>
      </c>
      <c r="AH50" s="331">
        <f>$AE50*P50</f>
        <v>0</v>
      </c>
      <c r="AI50" s="331">
        <v>0</v>
      </c>
      <c r="AJ50" s="374">
        <f>Z50+AC50+AF50+AH50</f>
        <v>1001</v>
      </c>
      <c r="AK50" s="331">
        <f>AA50+AD50+AG50+AI50</f>
        <v>1476</v>
      </c>
      <c r="AL50" s="331" t="s">
        <v>26</v>
      </c>
      <c r="AM50" s="331" t="s">
        <v>26</v>
      </c>
      <c r="AN50" s="331">
        <f t="shared" si="6"/>
        <v>20.02</v>
      </c>
      <c r="AO50" s="42"/>
      <c r="AP50" s="301"/>
      <c r="AQ50" s="43"/>
      <c r="AR50" s="536"/>
      <c r="AS50" s="399"/>
      <c r="AT50" s="41"/>
      <c r="AU50" s="44"/>
    </row>
    <row r="51" spans="1:47" ht="28.8" x14ac:dyDescent="0.3">
      <c r="A51" s="1080"/>
      <c r="B51" s="117">
        <v>22</v>
      </c>
      <c r="C51" s="113">
        <v>7.81</v>
      </c>
      <c r="D51" s="138">
        <v>17.850000000000001</v>
      </c>
      <c r="E51" s="6">
        <v>688</v>
      </c>
      <c r="F51" s="127" t="s">
        <v>26</v>
      </c>
      <c r="G51" s="117">
        <f>227*5</f>
        <v>1135</v>
      </c>
      <c r="H51" s="113" t="s">
        <v>26</v>
      </c>
      <c r="I51" s="6" t="s">
        <v>26</v>
      </c>
      <c r="J51" s="408" t="s">
        <v>26</v>
      </c>
      <c r="K51" s="480" t="s">
        <v>26</v>
      </c>
      <c r="L51" s="364" t="s">
        <v>26</v>
      </c>
      <c r="M51" s="408" t="s">
        <v>26</v>
      </c>
      <c r="N51" s="480" t="s">
        <v>26</v>
      </c>
      <c r="O51" s="364" t="s">
        <v>26</v>
      </c>
      <c r="P51" s="295" t="s">
        <v>26</v>
      </c>
      <c r="Q51" s="480" t="s">
        <v>26</v>
      </c>
      <c r="R51" s="113" t="s">
        <v>26</v>
      </c>
      <c r="S51" s="6" t="s">
        <v>26</v>
      </c>
      <c r="T51" s="21" t="s">
        <v>26</v>
      </c>
      <c r="U51" s="242"/>
      <c r="V51" s="1083"/>
      <c r="W51" s="646" t="s">
        <v>191</v>
      </c>
      <c r="X51" s="573"/>
      <c r="Y51" s="419">
        <f>Y50-0.02</f>
        <v>0.96</v>
      </c>
      <c r="Z51" s="138">
        <f>($Y51*E51)+SUM(AN50:AN51)</f>
        <v>694.26</v>
      </c>
      <c r="AA51" s="138" t="s">
        <v>26</v>
      </c>
      <c r="AB51" s="419" t="s">
        <v>26</v>
      </c>
      <c r="AC51" s="138" t="s">
        <v>26</v>
      </c>
      <c r="AD51" s="138" t="s">
        <v>26</v>
      </c>
      <c r="AE51" s="333">
        <v>0.5</v>
      </c>
      <c r="AF51" s="325" t="s">
        <v>26</v>
      </c>
      <c r="AG51" s="325" t="s">
        <v>26</v>
      </c>
      <c r="AH51" s="334" t="s">
        <v>26</v>
      </c>
      <c r="AI51" s="334" t="s">
        <v>26</v>
      </c>
      <c r="AJ51" s="333" t="s">
        <v>26</v>
      </c>
      <c r="AK51" s="325" t="s">
        <v>26</v>
      </c>
      <c r="AL51" s="325" t="s">
        <v>26</v>
      </c>
      <c r="AM51" s="334" t="s">
        <v>26</v>
      </c>
      <c r="AN51" s="334">
        <f t="shared" si="6"/>
        <v>13.76</v>
      </c>
      <c r="AO51" s="7"/>
      <c r="AP51" s="302"/>
      <c r="AQ51" s="35"/>
      <c r="AR51" s="535"/>
      <c r="AS51" s="871"/>
      <c r="AT51" s="30"/>
      <c r="AU51" s="31"/>
    </row>
    <row r="52" spans="1:47" x14ac:dyDescent="0.3">
      <c r="A52" s="1080"/>
      <c r="B52" s="117">
        <v>87.5</v>
      </c>
      <c r="C52" s="619">
        <v>7.71</v>
      </c>
      <c r="D52" s="126">
        <v>16.100000000000001</v>
      </c>
      <c r="E52" s="127">
        <v>329</v>
      </c>
      <c r="F52" s="127" t="s">
        <v>26</v>
      </c>
      <c r="G52" s="117">
        <f>282*5</f>
        <v>1410</v>
      </c>
      <c r="H52" s="113" t="s">
        <v>26</v>
      </c>
      <c r="I52" s="6" t="s">
        <v>26</v>
      </c>
      <c r="J52" s="408" t="s">
        <v>26</v>
      </c>
      <c r="K52" s="480" t="s">
        <v>26</v>
      </c>
      <c r="L52" s="364" t="s">
        <v>26</v>
      </c>
      <c r="M52" s="21" t="s">
        <v>26</v>
      </c>
      <c r="N52" s="480" t="s">
        <v>26</v>
      </c>
      <c r="O52" s="364" t="s">
        <v>26</v>
      </c>
      <c r="P52" s="295" t="s">
        <v>26</v>
      </c>
      <c r="Q52" s="480" t="s">
        <v>26</v>
      </c>
      <c r="R52" s="113">
        <v>-0.32490000000000002</v>
      </c>
      <c r="S52" s="6">
        <v>-0.48320000000000002</v>
      </c>
      <c r="T52" s="21" t="s">
        <v>26</v>
      </c>
      <c r="U52" s="31"/>
      <c r="V52" s="1083"/>
      <c r="W52" s="645" t="s">
        <v>92</v>
      </c>
      <c r="X52" s="573"/>
      <c r="Y52" s="419">
        <f t="shared" ref="Y52" si="9">Y51-0.02</f>
        <v>0.94</v>
      </c>
      <c r="Z52" s="138">
        <f>($Y52*E52)+SUM(AN50:AN52)</f>
        <v>349.62</v>
      </c>
      <c r="AA52" s="138" t="s">
        <v>26</v>
      </c>
      <c r="AB52" s="419" t="s">
        <v>26</v>
      </c>
      <c r="AC52" s="138" t="s">
        <v>26</v>
      </c>
      <c r="AD52" s="138" t="s">
        <v>26</v>
      </c>
      <c r="AE52" s="333">
        <v>0.5</v>
      </c>
      <c r="AF52" s="325" t="s">
        <v>26</v>
      </c>
      <c r="AG52" s="325" t="s">
        <v>26</v>
      </c>
      <c r="AH52" s="334" t="s">
        <v>26</v>
      </c>
      <c r="AI52" s="334" t="s">
        <v>26</v>
      </c>
      <c r="AJ52" s="333" t="s">
        <v>26</v>
      </c>
      <c r="AK52" s="325" t="s">
        <v>26</v>
      </c>
      <c r="AL52" s="325" t="s">
        <v>26</v>
      </c>
      <c r="AM52" s="334" t="s">
        <v>26</v>
      </c>
      <c r="AN52" s="334">
        <f t="shared" si="6"/>
        <v>6.58</v>
      </c>
      <c r="AO52" s="413"/>
      <c r="AP52" s="302"/>
      <c r="AQ52" s="431"/>
      <c r="AR52" s="535"/>
      <c r="AS52" s="535"/>
      <c r="AT52" s="30"/>
      <c r="AU52" s="31"/>
    </row>
    <row r="53" spans="1:47" s="311" customFormat="1" ht="15" thickBot="1" x14ac:dyDescent="0.35">
      <c r="A53" s="1081"/>
      <c r="B53" s="305">
        <v>114.5</v>
      </c>
      <c r="C53" s="306">
        <v>7.52</v>
      </c>
      <c r="D53" s="307">
        <v>15.16</v>
      </c>
      <c r="E53" s="308">
        <v>218</v>
      </c>
      <c r="F53" s="308">
        <v>296</v>
      </c>
      <c r="G53" s="305">
        <f>132*5</f>
        <v>660</v>
      </c>
      <c r="H53" s="306">
        <v>12.11</v>
      </c>
      <c r="I53" s="308">
        <v>26.9</v>
      </c>
      <c r="J53" s="313">
        <v>649</v>
      </c>
      <c r="K53" s="481">
        <v>925</v>
      </c>
      <c r="L53" s="482">
        <v>44.5</v>
      </c>
      <c r="M53" s="313">
        <v>912</v>
      </c>
      <c r="N53" s="481">
        <f>64.7*20</f>
        <v>1294</v>
      </c>
      <c r="O53" s="482">
        <v>65.2</v>
      </c>
      <c r="P53" s="483">
        <v>2.9000000000000001E-2</v>
      </c>
      <c r="Q53" s="481">
        <v>3.08</v>
      </c>
      <c r="R53" s="312" t="s">
        <v>26</v>
      </c>
      <c r="S53" s="308" t="s">
        <v>26</v>
      </c>
      <c r="T53" s="313">
        <v>0.2</v>
      </c>
      <c r="U53" s="308">
        <v>24.7</v>
      </c>
      <c r="V53" s="1084"/>
      <c r="W53" s="662" t="s">
        <v>164</v>
      </c>
      <c r="X53" s="766"/>
      <c r="Y53" s="417">
        <f>Y52</f>
        <v>0.94</v>
      </c>
      <c r="Z53" s="307">
        <f>($Y53*E53)+SUM(AN50:AN52)</f>
        <v>245.27999999999997</v>
      </c>
      <c r="AA53" s="307">
        <f>($Y53*F53)+(0.02*F53)</f>
        <v>284.16000000000003</v>
      </c>
      <c r="AB53" s="417">
        <v>0.48</v>
      </c>
      <c r="AC53" s="307">
        <f>(AB53*J53)+(0.02*F50)</f>
        <v>341.03999999999996</v>
      </c>
      <c r="AD53" s="307">
        <f>(AB53*K53)+(0.02*K50)</f>
        <v>444</v>
      </c>
      <c r="AE53" s="510">
        <v>0.5</v>
      </c>
      <c r="AF53" s="483">
        <f>$AE53*M53</f>
        <v>456</v>
      </c>
      <c r="AG53" s="483">
        <f>$AE53*N53</f>
        <v>647</v>
      </c>
      <c r="AH53" s="388">
        <f>$AE53*P53</f>
        <v>1.4500000000000001E-2</v>
      </c>
      <c r="AI53" s="388">
        <f>$AE53*Q53</f>
        <v>1.54</v>
      </c>
      <c r="AJ53" s="387">
        <f>Z53+AC53+AF53+AH53</f>
        <v>1042.3344999999999</v>
      </c>
      <c r="AK53" s="388">
        <f>AA53+AD53+AG53+AI53</f>
        <v>1376.7</v>
      </c>
      <c r="AL53" s="388">
        <f>AJ53-AJ50</f>
        <v>41.334499999999935</v>
      </c>
      <c r="AM53" s="388">
        <f>AK53-AK50</f>
        <v>-99.299999999999955</v>
      </c>
      <c r="AN53" s="388" t="s">
        <v>26</v>
      </c>
      <c r="AO53" s="388">
        <f>(AF53+AH53)*10/100/(B53/24)</f>
        <v>9.558382532751093</v>
      </c>
      <c r="AP53" s="529">
        <f>(AF53+AH53)/Z50</f>
        <v>0.45555894105894107</v>
      </c>
      <c r="AQ53" s="537">
        <f>(Z50-Z53)*10/100/(B53/24)</f>
        <v>15.840419213973801</v>
      </c>
      <c r="AR53" s="851">
        <f>(Z50-Z53)/Z50</f>
        <v>0.75496503496503498</v>
      </c>
      <c r="AS53" s="851">
        <f>((AC53+AF53)-AC50)/Z50</f>
        <v>0.79624375624375621</v>
      </c>
      <c r="AT53" s="472">
        <f>AU53/10</f>
        <v>8.2270742358078602E-2</v>
      </c>
      <c r="AU53" s="900">
        <f>((G50+$T$2)-G53)/(1000*(B53/24))</f>
        <v>0.82270742358078608</v>
      </c>
    </row>
    <row r="54" spans="1:47" ht="15" thickTop="1" x14ac:dyDescent="0.3">
      <c r="A54" s="1079">
        <v>12</v>
      </c>
      <c r="B54" s="114">
        <v>0</v>
      </c>
      <c r="C54" s="610">
        <v>7.72</v>
      </c>
      <c r="D54" s="621">
        <v>21.34</v>
      </c>
      <c r="E54" s="621">
        <v>1010</v>
      </c>
      <c r="F54" s="610">
        <f>68.1*20</f>
        <v>1362</v>
      </c>
      <c r="G54" s="610">
        <f>349*5</f>
        <v>1745</v>
      </c>
      <c r="H54" s="181">
        <v>7.93</v>
      </c>
      <c r="I54" s="615">
        <v>21.3</v>
      </c>
      <c r="J54" s="246">
        <v>16.8</v>
      </c>
      <c r="K54" s="247">
        <v>14.5</v>
      </c>
      <c r="L54" s="484" t="s">
        <v>26</v>
      </c>
      <c r="M54" s="79">
        <v>0</v>
      </c>
      <c r="N54" s="247">
        <v>0</v>
      </c>
      <c r="O54" s="181" t="s">
        <v>26</v>
      </c>
      <c r="P54" s="485">
        <v>0</v>
      </c>
      <c r="Q54" s="247">
        <v>0</v>
      </c>
      <c r="R54" s="612" t="s">
        <v>26</v>
      </c>
      <c r="S54" s="615" t="s">
        <v>26</v>
      </c>
      <c r="T54" s="246" t="s">
        <v>26</v>
      </c>
      <c r="U54" s="241"/>
      <c r="V54" s="1082">
        <v>150</v>
      </c>
      <c r="W54" s="645" t="s">
        <v>56</v>
      </c>
      <c r="X54" s="573"/>
      <c r="Y54" s="405">
        <f>1-0.02</f>
        <v>0.98</v>
      </c>
      <c r="Z54" s="323">
        <f>($Y54*E54)+AN54</f>
        <v>1010</v>
      </c>
      <c r="AA54" s="323">
        <f>($Y54*F54)+(0.02*F54)</f>
        <v>1362</v>
      </c>
      <c r="AB54" s="405">
        <v>0.48</v>
      </c>
      <c r="AC54" s="323">
        <f>(AB54*J54)+(0.02*J54)</f>
        <v>8.4</v>
      </c>
      <c r="AD54" s="323">
        <f>(AB54*K54)+(0.02*K54)</f>
        <v>7.25</v>
      </c>
      <c r="AE54" s="330">
        <v>0.5</v>
      </c>
      <c r="AF54" s="367">
        <f>$AE54*M54</f>
        <v>0</v>
      </c>
      <c r="AG54" s="367">
        <f>$AE54*N54</f>
        <v>0</v>
      </c>
      <c r="AH54" s="331">
        <f>$AE54*P54</f>
        <v>0</v>
      </c>
      <c r="AI54" s="331">
        <v>0</v>
      </c>
      <c r="AJ54" s="374">
        <f>Z54+AC54+AF54+AH54</f>
        <v>1018.4</v>
      </c>
      <c r="AK54" s="331">
        <f>AA54+AD54+AG54+AI54</f>
        <v>1369.25</v>
      </c>
      <c r="AL54" s="331" t="s">
        <v>26</v>
      </c>
      <c r="AM54" s="331" t="s">
        <v>26</v>
      </c>
      <c r="AN54" s="331">
        <f t="shared" si="6"/>
        <v>20.2</v>
      </c>
      <c r="AO54" s="42"/>
      <c r="AP54" s="301"/>
      <c r="AQ54" s="43"/>
      <c r="AR54" s="536"/>
      <c r="AS54" s="399"/>
      <c r="AT54" s="41"/>
      <c r="AU54" s="44"/>
    </row>
    <row r="55" spans="1:47" ht="28.8" x14ac:dyDescent="0.3">
      <c r="A55" s="1080"/>
      <c r="B55" s="117">
        <v>21</v>
      </c>
      <c r="C55" s="113">
        <v>7.81</v>
      </c>
      <c r="D55" s="138">
        <v>20.350000000000001</v>
      </c>
      <c r="E55" s="6">
        <v>724</v>
      </c>
      <c r="F55" s="127" t="s">
        <v>26</v>
      </c>
      <c r="G55" s="117">
        <f>250*5</f>
        <v>1250</v>
      </c>
      <c r="H55" s="113" t="s">
        <v>26</v>
      </c>
      <c r="I55" s="6" t="s">
        <v>26</v>
      </c>
      <c r="J55" s="408" t="s">
        <v>26</v>
      </c>
      <c r="K55" s="480" t="s">
        <v>26</v>
      </c>
      <c r="L55" s="364" t="s">
        <v>26</v>
      </c>
      <c r="M55" s="408" t="s">
        <v>26</v>
      </c>
      <c r="N55" s="480" t="s">
        <v>26</v>
      </c>
      <c r="O55" s="364" t="s">
        <v>26</v>
      </c>
      <c r="P55" s="295" t="s">
        <v>26</v>
      </c>
      <c r="Q55" s="480" t="s">
        <v>26</v>
      </c>
      <c r="R55" s="113">
        <v>-0.34210000000000002</v>
      </c>
      <c r="S55" s="6">
        <v>-0.50390000000000001</v>
      </c>
      <c r="T55" s="21" t="s">
        <v>26</v>
      </c>
      <c r="U55" s="242"/>
      <c r="V55" s="1083"/>
      <c r="W55" s="646" t="s">
        <v>189</v>
      </c>
      <c r="X55" s="573"/>
      <c r="Y55" s="419">
        <f>Y54-0.02</f>
        <v>0.96</v>
      </c>
      <c r="Z55" s="138">
        <f>($Y55*E55)+SUM(AN54:AN55)</f>
        <v>729.71999999999991</v>
      </c>
      <c r="AA55" s="138" t="s">
        <v>26</v>
      </c>
      <c r="AB55" s="419" t="s">
        <v>26</v>
      </c>
      <c r="AC55" s="138" t="s">
        <v>26</v>
      </c>
      <c r="AD55" s="138" t="s">
        <v>26</v>
      </c>
      <c r="AE55" s="333">
        <v>0.5</v>
      </c>
      <c r="AF55" s="325" t="s">
        <v>26</v>
      </c>
      <c r="AG55" s="325" t="s">
        <v>26</v>
      </c>
      <c r="AH55" s="334" t="s">
        <v>26</v>
      </c>
      <c r="AI55" s="334" t="s">
        <v>26</v>
      </c>
      <c r="AJ55" s="333" t="s">
        <v>26</v>
      </c>
      <c r="AK55" s="325" t="s">
        <v>26</v>
      </c>
      <c r="AL55" s="325" t="s">
        <v>26</v>
      </c>
      <c r="AM55" s="334" t="s">
        <v>26</v>
      </c>
      <c r="AN55" s="334">
        <f t="shared" si="6"/>
        <v>14.48</v>
      </c>
      <c r="AO55" s="7"/>
      <c r="AP55" s="302"/>
      <c r="AQ55" s="35"/>
      <c r="AR55" s="535"/>
      <c r="AS55" s="871"/>
      <c r="AT55" s="30"/>
      <c r="AU55" s="31"/>
    </row>
    <row r="56" spans="1:47" ht="28.8" x14ac:dyDescent="0.3">
      <c r="A56" s="1080"/>
      <c r="B56" s="117">
        <v>93</v>
      </c>
      <c r="C56" s="619">
        <v>7.56</v>
      </c>
      <c r="D56" s="126">
        <v>18.04</v>
      </c>
      <c r="E56" s="127">
        <v>448</v>
      </c>
      <c r="F56" s="127" t="s">
        <v>26</v>
      </c>
      <c r="G56" s="117">
        <f>195*5</f>
        <v>975</v>
      </c>
      <c r="H56" s="113" t="s">
        <v>26</v>
      </c>
      <c r="I56" s="6" t="s">
        <v>26</v>
      </c>
      <c r="J56" s="408" t="s">
        <v>26</v>
      </c>
      <c r="K56" s="480" t="s">
        <v>26</v>
      </c>
      <c r="L56" s="364" t="s">
        <v>26</v>
      </c>
      <c r="M56" s="21" t="s">
        <v>26</v>
      </c>
      <c r="N56" s="480" t="s">
        <v>26</v>
      </c>
      <c r="O56" s="364" t="s">
        <v>26</v>
      </c>
      <c r="P56" s="295" t="s">
        <v>26</v>
      </c>
      <c r="Q56" s="480" t="s">
        <v>26</v>
      </c>
      <c r="R56" s="113">
        <v>-0.33479999999999999</v>
      </c>
      <c r="S56" s="6">
        <v>-0.16470000000000001</v>
      </c>
      <c r="T56" s="21" t="s">
        <v>26</v>
      </c>
      <c r="U56" s="31"/>
      <c r="V56" s="1083"/>
      <c r="W56" s="646" t="s">
        <v>192</v>
      </c>
      <c r="X56" s="573"/>
      <c r="Y56" s="419">
        <f t="shared" ref="Y56" si="10">Y55-0.02</f>
        <v>0.94</v>
      </c>
      <c r="Z56" s="138">
        <f>($Y56*E56)+SUM(AN54:AN56)</f>
        <v>464.76</v>
      </c>
      <c r="AA56" s="138" t="s">
        <v>26</v>
      </c>
      <c r="AB56" s="419" t="s">
        <v>26</v>
      </c>
      <c r="AC56" s="138" t="s">
        <v>26</v>
      </c>
      <c r="AD56" s="138" t="s">
        <v>26</v>
      </c>
      <c r="AE56" s="333">
        <v>0.5</v>
      </c>
      <c r="AF56" s="325" t="s">
        <v>26</v>
      </c>
      <c r="AG56" s="325" t="s">
        <v>26</v>
      </c>
      <c r="AH56" s="334" t="s">
        <v>26</v>
      </c>
      <c r="AI56" s="334" t="s">
        <v>26</v>
      </c>
      <c r="AJ56" s="333" t="s">
        <v>26</v>
      </c>
      <c r="AK56" s="325" t="s">
        <v>26</v>
      </c>
      <c r="AL56" s="325" t="s">
        <v>26</v>
      </c>
      <c r="AM56" s="334" t="s">
        <v>26</v>
      </c>
      <c r="AN56" s="334">
        <f t="shared" si="6"/>
        <v>8.9600000000000009</v>
      </c>
      <c r="AO56" s="413"/>
      <c r="AP56" s="302"/>
      <c r="AQ56" s="431"/>
      <c r="AR56" s="535"/>
      <c r="AS56" s="535"/>
      <c r="AT56" s="30"/>
      <c r="AU56" s="31"/>
    </row>
    <row r="57" spans="1:47" s="311" customFormat="1" ht="15" thickBot="1" x14ac:dyDescent="0.35">
      <c r="A57" s="1081"/>
      <c r="B57" s="305">
        <v>120</v>
      </c>
      <c r="C57" s="306">
        <v>7.73</v>
      </c>
      <c r="D57" s="307">
        <v>16.71</v>
      </c>
      <c r="E57" s="308">
        <v>260</v>
      </c>
      <c r="F57" s="308">
        <v>290</v>
      </c>
      <c r="G57" s="305">
        <f>202*5</f>
        <v>1010</v>
      </c>
      <c r="H57" s="306">
        <v>12.05</v>
      </c>
      <c r="I57" s="308">
        <v>33.299999999999997</v>
      </c>
      <c r="J57" s="313">
        <v>595</v>
      </c>
      <c r="K57" s="481">
        <v>898</v>
      </c>
      <c r="L57" s="482">
        <v>41.2</v>
      </c>
      <c r="M57" s="313">
        <v>900</v>
      </c>
      <c r="N57" s="481">
        <f>73.7*20</f>
        <v>1474</v>
      </c>
      <c r="O57" s="482">
        <v>62.1</v>
      </c>
      <c r="P57" s="483">
        <v>0.58199999999999996</v>
      </c>
      <c r="Q57" s="481">
        <v>1.1599999999999999</v>
      </c>
      <c r="R57" s="312" t="s">
        <v>26</v>
      </c>
      <c r="S57" s="308" t="s">
        <v>26</v>
      </c>
      <c r="T57" s="313">
        <v>0.2</v>
      </c>
      <c r="U57" s="308">
        <v>26.2</v>
      </c>
      <c r="V57" s="1084"/>
      <c r="W57" s="662" t="s">
        <v>164</v>
      </c>
      <c r="X57" s="766"/>
      <c r="Y57" s="417">
        <f>Y56</f>
        <v>0.94</v>
      </c>
      <c r="Z57" s="307">
        <f>($Y57*E57)+SUM(AN54:AN56)</f>
        <v>288.03999999999996</v>
      </c>
      <c r="AA57" s="307">
        <f>($Y57*F57)+(0.02*F54)</f>
        <v>299.83999999999997</v>
      </c>
      <c r="AB57" s="417">
        <v>0.48</v>
      </c>
      <c r="AC57" s="307">
        <f>(AB57*J57)+(0.02*J57)</f>
        <v>297.49999999999994</v>
      </c>
      <c r="AD57" s="307">
        <f>(AB57*K57)+(0.02*K57)</f>
        <v>448.99999999999994</v>
      </c>
      <c r="AE57" s="510">
        <v>0.5</v>
      </c>
      <c r="AF57" s="483">
        <f>$AE57*M57</f>
        <v>450</v>
      </c>
      <c r="AG57" s="483">
        <f>$AE57*N57</f>
        <v>737</v>
      </c>
      <c r="AH57" s="388">
        <f>$AE57*P57</f>
        <v>0.29099999999999998</v>
      </c>
      <c r="AI57" s="388">
        <f>$AE57*Q57</f>
        <v>0.57999999999999996</v>
      </c>
      <c r="AJ57" s="387">
        <f>Z57+AC57+AF57+AH57</f>
        <v>1035.8309999999999</v>
      </c>
      <c r="AK57" s="388">
        <f>AA57+AD57+AG57+AI57</f>
        <v>1486.4199999999998</v>
      </c>
      <c r="AL57" s="388">
        <f>AJ57-AJ54</f>
        <v>17.430999999999926</v>
      </c>
      <c r="AM57" s="533">
        <f>AK57-AK54</f>
        <v>117.16999999999985</v>
      </c>
      <c r="AN57" s="388" t="s">
        <v>26</v>
      </c>
      <c r="AO57" s="388">
        <f>(AF57+AH57)*10/100/(B57/24)</f>
        <v>9.0058199999999999</v>
      </c>
      <c r="AP57" s="529">
        <f>(AF57+AH57)/Z54</f>
        <v>0.44583267326732673</v>
      </c>
      <c r="AQ57" s="537">
        <f>(Z54-Z57)*10/100/(B57/24)</f>
        <v>14.4392</v>
      </c>
      <c r="AR57" s="851">
        <f>(Z54-Z57)/Z54</f>
        <v>0.71481188118811889</v>
      </c>
      <c r="AS57" s="851">
        <f>((AC57+AF57)-AC54)/Z54</f>
        <v>0.73178217821782177</v>
      </c>
      <c r="AT57" s="472">
        <f>AU57/10</f>
        <v>7.0699999999999999E-2</v>
      </c>
      <c r="AU57" s="900">
        <f>((G54+$T$2)-G57)/(1000*(B57/24))</f>
        <v>0.70699999999999996</v>
      </c>
    </row>
    <row r="58" spans="1:47" ht="15" thickTop="1" x14ac:dyDescent="0.3">
      <c r="A58" s="1079">
        <v>13</v>
      </c>
      <c r="B58" s="114">
        <v>0</v>
      </c>
      <c r="C58" s="166"/>
      <c r="D58" s="167"/>
      <c r="E58" s="167"/>
      <c r="F58" s="167"/>
      <c r="G58" s="260"/>
      <c r="H58" s="166"/>
      <c r="I58" s="167"/>
      <c r="J58" s="301"/>
      <c r="K58" s="486"/>
      <c r="L58" s="487"/>
      <c r="M58" s="301"/>
      <c r="N58" s="486"/>
      <c r="O58" s="487"/>
      <c r="P58" s="301"/>
      <c r="Q58" s="486"/>
      <c r="R58" s="166"/>
      <c r="S58" s="167"/>
      <c r="T58" s="301"/>
      <c r="U58" s="260"/>
      <c r="V58" s="41"/>
      <c r="W58" s="645" t="s">
        <v>56</v>
      </c>
      <c r="X58" s="573"/>
      <c r="Y58" s="166"/>
      <c r="Z58" s="167"/>
      <c r="AA58" s="260"/>
      <c r="AB58" s="478"/>
      <c r="AC58" s="167"/>
      <c r="AD58" s="260"/>
      <c r="AE58" s="487"/>
      <c r="AF58" s="301"/>
      <c r="AG58" s="301"/>
      <c r="AH58" s="301"/>
      <c r="AI58" s="486"/>
      <c r="AJ58" s="487"/>
      <c r="AK58" s="301"/>
      <c r="AL58" s="301"/>
      <c r="AM58" s="301"/>
      <c r="AN58" s="301"/>
      <c r="AO58" s="42"/>
      <c r="AP58" s="301"/>
      <c r="AQ58" s="301"/>
      <c r="AR58" s="486"/>
      <c r="AS58" s="818"/>
      <c r="AT58" s="41"/>
      <c r="AU58" s="44"/>
    </row>
    <row r="59" spans="1:47" ht="28.8" x14ac:dyDescent="0.3">
      <c r="A59" s="1080"/>
      <c r="B59" s="117">
        <v>21</v>
      </c>
      <c r="C59" s="30"/>
      <c r="D59" s="7"/>
      <c r="E59" s="7"/>
      <c r="F59" s="7"/>
      <c r="G59" s="261"/>
      <c r="H59" s="30"/>
      <c r="I59" s="7"/>
      <c r="J59" s="302"/>
      <c r="K59" s="488"/>
      <c r="L59" s="489"/>
      <c r="M59" s="302"/>
      <c r="N59" s="488"/>
      <c r="O59" s="489"/>
      <c r="P59" s="302"/>
      <c r="Q59" s="488"/>
      <c r="R59" s="30"/>
      <c r="S59" s="7"/>
      <c r="T59" s="302"/>
      <c r="U59" s="261"/>
      <c r="V59" s="30"/>
      <c r="W59" s="646" t="s">
        <v>189</v>
      </c>
      <c r="X59" s="573"/>
      <c r="Y59" s="30"/>
      <c r="Z59" s="7"/>
      <c r="AA59" s="260"/>
      <c r="AB59" s="473"/>
      <c r="AC59" s="7"/>
      <c r="AD59" s="260"/>
      <c r="AE59" s="489"/>
      <c r="AF59" s="302"/>
      <c r="AG59" s="302"/>
      <c r="AH59" s="302"/>
      <c r="AI59" s="486"/>
      <c r="AJ59" s="489"/>
      <c r="AK59" s="302"/>
      <c r="AL59" s="302"/>
      <c r="AM59" s="302"/>
      <c r="AN59" s="302"/>
      <c r="AO59" s="7"/>
      <c r="AP59" s="302"/>
      <c r="AQ59" s="302"/>
      <c r="AR59" s="486"/>
      <c r="AS59" s="818"/>
      <c r="AT59" s="30"/>
      <c r="AU59" s="31"/>
    </row>
    <row r="60" spans="1:47" ht="28.8" x14ac:dyDescent="0.3">
      <c r="A60" s="1080"/>
      <c r="B60" s="117">
        <v>93</v>
      </c>
      <c r="C60" s="30"/>
      <c r="D60" s="7"/>
      <c r="E60" s="7"/>
      <c r="F60" s="7"/>
      <c r="G60" s="261"/>
      <c r="H60" s="30"/>
      <c r="I60" s="7"/>
      <c r="J60" s="302"/>
      <c r="K60" s="488"/>
      <c r="L60" s="489"/>
      <c r="M60" s="302"/>
      <c r="N60" s="488"/>
      <c r="O60" s="489"/>
      <c r="P60" s="302"/>
      <c r="Q60" s="488"/>
      <c r="R60" s="30"/>
      <c r="S60" s="7"/>
      <c r="T60" s="302"/>
      <c r="U60" s="261"/>
      <c r="V60" s="30"/>
      <c r="W60" s="646" t="s">
        <v>192</v>
      </c>
      <c r="X60" s="573"/>
      <c r="Y60" s="30"/>
      <c r="Z60" s="7"/>
      <c r="AA60" s="260"/>
      <c r="AB60" s="473"/>
      <c r="AC60" s="7"/>
      <c r="AD60" s="260"/>
      <c r="AE60" s="489"/>
      <c r="AF60" s="302"/>
      <c r="AG60" s="302"/>
      <c r="AH60" s="302"/>
      <c r="AI60" s="486"/>
      <c r="AJ60" s="489"/>
      <c r="AK60" s="302"/>
      <c r="AL60" s="302"/>
      <c r="AM60" s="302"/>
      <c r="AN60" s="302"/>
      <c r="AO60" s="413"/>
      <c r="AP60" s="302"/>
      <c r="AQ60" s="302"/>
      <c r="AR60" s="486"/>
      <c r="AS60" s="818"/>
      <c r="AT60" s="30"/>
      <c r="AU60" s="31"/>
    </row>
    <row r="61" spans="1:47" s="288" customFormat="1" ht="15" thickBot="1" x14ac:dyDescent="0.35">
      <c r="A61" s="1081"/>
      <c r="B61" s="282">
        <v>120</v>
      </c>
      <c r="C61" s="290"/>
      <c r="D61" s="291"/>
      <c r="E61" s="291"/>
      <c r="F61" s="291"/>
      <c r="G61" s="292"/>
      <c r="H61" s="290"/>
      <c r="I61" s="291"/>
      <c r="J61" s="303"/>
      <c r="K61" s="490"/>
      <c r="L61" s="491"/>
      <c r="M61" s="303"/>
      <c r="N61" s="490"/>
      <c r="O61" s="491"/>
      <c r="P61" s="303"/>
      <c r="Q61" s="490"/>
      <c r="R61" s="290"/>
      <c r="S61" s="291"/>
      <c r="T61" s="303"/>
      <c r="U61" s="303"/>
      <c r="V61" s="293"/>
      <c r="W61" s="876" t="s">
        <v>86</v>
      </c>
      <c r="X61" s="766"/>
      <c r="Y61" s="290"/>
      <c r="Z61" s="291"/>
      <c r="AA61" s="294"/>
      <c r="AB61" s="479"/>
      <c r="AC61" s="291"/>
      <c r="AD61" s="294"/>
      <c r="AE61" s="491"/>
      <c r="AF61" s="303"/>
      <c r="AG61" s="303"/>
      <c r="AH61" s="303"/>
      <c r="AI61" s="511"/>
      <c r="AJ61" s="491"/>
      <c r="AK61" s="303"/>
      <c r="AL61" s="303"/>
      <c r="AM61" s="303"/>
      <c r="AN61" s="303"/>
      <c r="AO61" s="303"/>
      <c r="AP61" s="303"/>
      <c r="AQ61" s="303"/>
      <c r="AR61" s="511"/>
      <c r="AS61" s="875"/>
      <c r="AT61" s="290"/>
      <c r="AU61" s="292"/>
    </row>
    <row r="62" spans="1:47" ht="15" thickTop="1" x14ac:dyDescent="0.3">
      <c r="A62" s="1079">
        <v>14</v>
      </c>
      <c r="B62" s="114">
        <v>0</v>
      </c>
      <c r="C62" s="610">
        <v>7.69</v>
      </c>
      <c r="D62" s="621">
        <v>20.53</v>
      </c>
      <c r="E62" s="621">
        <v>1040</v>
      </c>
      <c r="F62" s="610">
        <f>98.9*20</f>
        <v>1978</v>
      </c>
      <c r="G62" s="610">
        <f>371*5</f>
        <v>1855</v>
      </c>
      <c r="H62" s="181">
        <v>7.59</v>
      </c>
      <c r="I62" s="615">
        <v>20.32</v>
      </c>
      <c r="J62" s="246">
        <v>29</v>
      </c>
      <c r="K62" s="247">
        <v>35.700000000000003</v>
      </c>
      <c r="L62" s="484" t="s">
        <v>26</v>
      </c>
      <c r="M62" s="79">
        <v>0</v>
      </c>
      <c r="N62" s="247">
        <v>0</v>
      </c>
      <c r="O62" s="181" t="s">
        <v>26</v>
      </c>
      <c r="P62" s="485">
        <v>0</v>
      </c>
      <c r="Q62" s="247">
        <v>0</v>
      </c>
      <c r="R62" s="612" t="s">
        <v>26</v>
      </c>
      <c r="S62" s="615" t="s">
        <v>26</v>
      </c>
      <c r="T62" s="246" t="s">
        <v>26</v>
      </c>
      <c r="U62" s="241"/>
      <c r="V62" s="1082">
        <v>150</v>
      </c>
      <c r="W62" s="645" t="s">
        <v>56</v>
      </c>
      <c r="X62" s="573"/>
      <c r="Y62" s="405">
        <f>1-0.02</f>
        <v>0.98</v>
      </c>
      <c r="Z62" s="323">
        <f>($Y62*E62)+AN62</f>
        <v>1040</v>
      </c>
      <c r="AA62" s="323">
        <f>($Y62*F62)+(0.02*F62)</f>
        <v>1978</v>
      </c>
      <c r="AB62" s="405">
        <v>0.48</v>
      </c>
      <c r="AC62" s="323">
        <f>(AB62*J62)+(0.02*J62)</f>
        <v>14.5</v>
      </c>
      <c r="AD62" s="323">
        <f>(AB62*K62)+(0.02*K62)</f>
        <v>17.849999999999998</v>
      </c>
      <c r="AE62" s="330">
        <v>0.5</v>
      </c>
      <c r="AF62" s="367">
        <f>$AE62*M62</f>
        <v>0</v>
      </c>
      <c r="AG62" s="367">
        <f>$AE62*N62</f>
        <v>0</v>
      </c>
      <c r="AH62" s="331">
        <f>$AE62*P62</f>
        <v>0</v>
      </c>
      <c r="AI62" s="331">
        <v>0</v>
      </c>
      <c r="AJ62" s="374">
        <f>Z62+AC62+AF62+AH62</f>
        <v>1054.5</v>
      </c>
      <c r="AK62" s="331">
        <f>AA62+AD62+AG62+AI62</f>
        <v>1995.85</v>
      </c>
      <c r="AL62" s="331" t="s">
        <v>26</v>
      </c>
      <c r="AM62" s="331" t="s">
        <v>26</v>
      </c>
      <c r="AN62" s="331">
        <f t="shared" ref="AN62:AN91" si="11">0.02*E62</f>
        <v>20.8</v>
      </c>
      <c r="AO62" s="42"/>
      <c r="AP62" s="301"/>
      <c r="AQ62" s="43"/>
      <c r="AR62" s="301"/>
      <c r="AS62" s="823"/>
      <c r="AT62" s="41"/>
      <c r="AU62" s="44"/>
    </row>
    <row r="63" spans="1:47" ht="28.8" x14ac:dyDescent="0.3">
      <c r="A63" s="1080"/>
      <c r="B63" s="117">
        <v>64.5</v>
      </c>
      <c r="C63" s="113">
        <v>7.99</v>
      </c>
      <c r="D63" s="138">
        <v>18.59</v>
      </c>
      <c r="E63" s="6">
        <v>739</v>
      </c>
      <c r="F63" s="127" t="s">
        <v>26</v>
      </c>
      <c r="G63" s="117">
        <f>120*5</f>
        <v>600</v>
      </c>
      <c r="H63" s="113" t="s">
        <v>26</v>
      </c>
      <c r="I63" s="6" t="s">
        <v>26</v>
      </c>
      <c r="J63" s="408" t="s">
        <v>26</v>
      </c>
      <c r="K63" s="480" t="s">
        <v>26</v>
      </c>
      <c r="L63" s="364" t="s">
        <v>26</v>
      </c>
      <c r="M63" s="408" t="s">
        <v>26</v>
      </c>
      <c r="N63" s="480" t="s">
        <v>26</v>
      </c>
      <c r="O63" s="364" t="s">
        <v>26</v>
      </c>
      <c r="P63" s="295" t="s">
        <v>26</v>
      </c>
      <c r="Q63" s="480" t="s">
        <v>26</v>
      </c>
      <c r="R63" s="113">
        <v>-0.38650000000000001</v>
      </c>
      <c r="S63" s="6">
        <v>-0.27500000000000002</v>
      </c>
      <c r="T63" s="21" t="s">
        <v>26</v>
      </c>
      <c r="U63" s="242"/>
      <c r="V63" s="1083"/>
      <c r="W63" s="646" t="s">
        <v>189</v>
      </c>
      <c r="X63" s="573"/>
      <c r="Y63" s="419">
        <f>Y62-0.02</f>
        <v>0.96</v>
      </c>
      <c r="Z63" s="138">
        <f>($Y63*E63)+SUM(AN62:AN63)</f>
        <v>745.02</v>
      </c>
      <c r="AA63" s="138" t="s">
        <v>26</v>
      </c>
      <c r="AB63" s="419" t="s">
        <v>26</v>
      </c>
      <c r="AC63" s="138" t="s">
        <v>26</v>
      </c>
      <c r="AD63" s="138" t="s">
        <v>26</v>
      </c>
      <c r="AE63" s="333">
        <v>0.5</v>
      </c>
      <c r="AF63" s="325" t="s">
        <v>26</v>
      </c>
      <c r="AG63" s="325" t="s">
        <v>26</v>
      </c>
      <c r="AH63" s="334" t="s">
        <v>26</v>
      </c>
      <c r="AI63" s="334" t="s">
        <v>26</v>
      </c>
      <c r="AJ63" s="333" t="s">
        <v>26</v>
      </c>
      <c r="AK63" s="325" t="s">
        <v>26</v>
      </c>
      <c r="AL63" s="325" t="s">
        <v>26</v>
      </c>
      <c r="AM63" s="334" t="s">
        <v>26</v>
      </c>
      <c r="AN63" s="334">
        <f t="shared" si="11"/>
        <v>14.780000000000001</v>
      </c>
      <c r="AO63" s="7"/>
      <c r="AP63" s="302"/>
      <c r="AQ63" s="35"/>
      <c r="AR63" s="302"/>
      <c r="AS63" s="822"/>
      <c r="AT63" s="30"/>
      <c r="AU63" s="31"/>
    </row>
    <row r="64" spans="1:47" x14ac:dyDescent="0.3">
      <c r="A64" s="1080"/>
      <c r="B64" s="117">
        <f>4*24</f>
        <v>96</v>
      </c>
      <c r="C64" s="619">
        <v>8</v>
      </c>
      <c r="D64" s="295">
        <v>20.02</v>
      </c>
      <c r="E64" s="127">
        <v>487</v>
      </c>
      <c r="F64" s="127" t="s">
        <v>26</v>
      </c>
      <c r="G64" s="117">
        <f>315*5</f>
        <v>1575</v>
      </c>
      <c r="H64" s="113" t="s">
        <v>26</v>
      </c>
      <c r="I64" s="6" t="s">
        <v>26</v>
      </c>
      <c r="J64" s="408" t="s">
        <v>26</v>
      </c>
      <c r="K64" s="480" t="s">
        <v>26</v>
      </c>
      <c r="L64" s="364" t="s">
        <v>26</v>
      </c>
      <c r="M64" s="21" t="s">
        <v>26</v>
      </c>
      <c r="N64" s="480" t="s">
        <v>26</v>
      </c>
      <c r="O64" s="364" t="s">
        <v>26</v>
      </c>
      <c r="P64" s="295" t="s">
        <v>26</v>
      </c>
      <c r="Q64" s="480" t="s">
        <v>26</v>
      </c>
      <c r="R64" s="113" t="s">
        <v>26</v>
      </c>
      <c r="S64" s="6" t="s">
        <v>26</v>
      </c>
      <c r="T64" s="21" t="s">
        <v>26</v>
      </c>
      <c r="U64" s="31"/>
      <c r="V64" s="1083"/>
      <c r="W64" s="646" t="s">
        <v>92</v>
      </c>
      <c r="X64" s="573"/>
      <c r="Y64" s="419">
        <f t="shared" ref="Y64" si="12">Y63-0.02</f>
        <v>0.94</v>
      </c>
      <c r="Z64" s="138">
        <f>($Y64*E64)+SUM(AN62:AN64)</f>
        <v>503.09999999999997</v>
      </c>
      <c r="AA64" s="138" t="s">
        <v>26</v>
      </c>
      <c r="AB64" s="419" t="s">
        <v>26</v>
      </c>
      <c r="AC64" s="138" t="s">
        <v>26</v>
      </c>
      <c r="AD64" s="138" t="s">
        <v>26</v>
      </c>
      <c r="AE64" s="333">
        <v>0.5</v>
      </c>
      <c r="AF64" s="325" t="s">
        <v>26</v>
      </c>
      <c r="AG64" s="325" t="s">
        <v>26</v>
      </c>
      <c r="AH64" s="334" t="s">
        <v>26</v>
      </c>
      <c r="AI64" s="334" t="s">
        <v>26</v>
      </c>
      <c r="AJ64" s="333" t="s">
        <v>26</v>
      </c>
      <c r="AK64" s="325" t="s">
        <v>26</v>
      </c>
      <c r="AL64" s="325" t="s">
        <v>26</v>
      </c>
      <c r="AM64" s="334" t="s">
        <v>26</v>
      </c>
      <c r="AN64" s="334">
        <f t="shared" si="11"/>
        <v>9.74</v>
      </c>
      <c r="AO64" s="413"/>
      <c r="AP64" s="302"/>
      <c r="AQ64" s="431"/>
      <c r="AR64" s="302"/>
      <c r="AS64" s="819"/>
      <c r="AT64" s="30"/>
      <c r="AU64" s="31"/>
    </row>
    <row r="65" spans="1:47" s="288" customFormat="1" ht="15" thickBot="1" x14ac:dyDescent="0.35">
      <c r="A65" s="1081"/>
      <c r="B65" s="282">
        <v>120</v>
      </c>
      <c r="C65" s="283">
        <v>7.71</v>
      </c>
      <c r="D65" s="296">
        <v>18.66</v>
      </c>
      <c r="E65" s="285">
        <v>354</v>
      </c>
      <c r="F65" s="285">
        <v>459</v>
      </c>
      <c r="G65" s="282">
        <f>150*5</f>
        <v>750</v>
      </c>
      <c r="H65" s="283">
        <v>10.24</v>
      </c>
      <c r="I65" s="285">
        <v>24.5</v>
      </c>
      <c r="J65" s="304">
        <v>690</v>
      </c>
      <c r="K65" s="492">
        <v>852</v>
      </c>
      <c r="L65" s="493">
        <v>45.6</v>
      </c>
      <c r="M65" s="304">
        <v>702</v>
      </c>
      <c r="N65" s="492">
        <f>37.2*20</f>
        <v>744</v>
      </c>
      <c r="O65" s="493">
        <v>62.7</v>
      </c>
      <c r="P65" s="296">
        <v>1.4999999999999999E-2</v>
      </c>
      <c r="Q65" s="492">
        <v>0.67900000000000005</v>
      </c>
      <c r="R65" s="289" t="s">
        <v>26</v>
      </c>
      <c r="S65" s="285" t="s">
        <v>26</v>
      </c>
      <c r="T65" s="304">
        <v>-0.1</v>
      </c>
      <c r="U65" s="574">
        <v>16.97</v>
      </c>
      <c r="V65" s="1084"/>
      <c r="W65" s="876" t="s">
        <v>86</v>
      </c>
      <c r="X65" s="766"/>
      <c r="Y65" s="421">
        <f>Y64</f>
        <v>0.94</v>
      </c>
      <c r="Z65" s="287">
        <f>($Y65*E65)+SUM(AN62:AN64)</f>
        <v>378.08</v>
      </c>
      <c r="AA65" s="287">
        <f>($Y65*F65)+(0.02*F62)</f>
        <v>471.02</v>
      </c>
      <c r="AB65" s="421">
        <v>0.48</v>
      </c>
      <c r="AC65" s="287">
        <f>(AB65*J65)+(0.02*J62)</f>
        <v>331.78</v>
      </c>
      <c r="AD65" s="287">
        <f>(AB65*K65)+(0.02*K62)</f>
        <v>409.67399999999998</v>
      </c>
      <c r="AE65" s="512">
        <v>0.5</v>
      </c>
      <c r="AF65" s="296">
        <f>$AE65*M65</f>
        <v>351</v>
      </c>
      <c r="AG65" s="296">
        <f>$AE65*N65</f>
        <v>372</v>
      </c>
      <c r="AH65" s="391">
        <f>$AE65*P65</f>
        <v>7.4999999999999997E-3</v>
      </c>
      <c r="AI65" s="391">
        <f>$AE65*Q65</f>
        <v>0.33950000000000002</v>
      </c>
      <c r="AJ65" s="390">
        <f>Z65+AC65+AF65+AH65</f>
        <v>1060.8674999999998</v>
      </c>
      <c r="AK65" s="391">
        <f>AA65+AD65+AG65+AI65</f>
        <v>1253.0335</v>
      </c>
      <c r="AL65" s="391">
        <f>AJ65-AJ62</f>
        <v>6.3674999999998363</v>
      </c>
      <c r="AM65" s="391">
        <f>AK65-AK62</f>
        <v>-742.81649999999991</v>
      </c>
      <c r="AN65" s="391" t="s">
        <v>26</v>
      </c>
      <c r="AO65" s="391">
        <f>(AF65+AH65)*10/100/(B65/24)</f>
        <v>7.0201499999999992</v>
      </c>
      <c r="AP65" s="530">
        <f>(AF65+AH65)/Z62</f>
        <v>0.33750721153846153</v>
      </c>
      <c r="AQ65" s="391">
        <f>(Z62-Z65)*10/100/(B65/24)</f>
        <v>13.238400000000002</v>
      </c>
      <c r="AR65" s="530">
        <f>(Z62-Z65)/Z62</f>
        <v>0.63646153846153852</v>
      </c>
      <c r="AS65" s="882">
        <f>((AC65+AF65)-AC62)/Z62</f>
        <v>0.64257692307692305</v>
      </c>
      <c r="AT65" s="474">
        <f>AU65/10</f>
        <v>6.4100000000000004E-2</v>
      </c>
      <c r="AU65" s="902">
        <f>((G62+$T$1)-G65)/(1000*(B65/24))</f>
        <v>0.64100000000000001</v>
      </c>
    </row>
    <row r="66" spans="1:47" ht="15" thickTop="1" x14ac:dyDescent="0.3">
      <c r="A66" s="1079">
        <v>15</v>
      </c>
      <c r="B66" s="114">
        <v>0</v>
      </c>
      <c r="C66" s="610">
        <v>7.81</v>
      </c>
      <c r="D66" s="621">
        <v>20.37</v>
      </c>
      <c r="E66" s="621">
        <f>52.8*20</f>
        <v>1056</v>
      </c>
      <c r="F66" s="610">
        <f>59.9*20</f>
        <v>1198</v>
      </c>
      <c r="G66" s="610">
        <f>293*5</f>
        <v>1465</v>
      </c>
      <c r="H66" s="181">
        <v>7.82</v>
      </c>
      <c r="I66" s="615">
        <v>19.170000000000002</v>
      </c>
      <c r="J66" s="246">
        <v>38</v>
      </c>
      <c r="K66" s="247">
        <v>55.5</v>
      </c>
      <c r="L66" s="484" t="s">
        <v>26</v>
      </c>
      <c r="M66" s="79">
        <v>0</v>
      </c>
      <c r="N66" s="247">
        <v>0</v>
      </c>
      <c r="O66" s="181" t="s">
        <v>26</v>
      </c>
      <c r="P66" s="485">
        <v>0</v>
      </c>
      <c r="Q66" s="247">
        <v>0</v>
      </c>
      <c r="R66" s="612" t="s">
        <v>26</v>
      </c>
      <c r="S66" s="615" t="s">
        <v>26</v>
      </c>
      <c r="T66" s="246" t="s">
        <v>26</v>
      </c>
      <c r="U66" s="241"/>
      <c r="V66" s="1082">
        <v>150</v>
      </c>
      <c r="W66" s="645" t="s">
        <v>56</v>
      </c>
      <c r="X66" s="573"/>
      <c r="Y66" s="405">
        <f>1-0.02</f>
        <v>0.98</v>
      </c>
      <c r="Z66" s="323">
        <f>($Y66*E66)+AN66</f>
        <v>1055.9999999999998</v>
      </c>
      <c r="AA66" s="323">
        <f>($Y66*F66)+(0.02*F66)</f>
        <v>1198</v>
      </c>
      <c r="AB66" s="405">
        <v>0.48</v>
      </c>
      <c r="AC66" s="323">
        <f>(AB66*J66)+(0.02*J66)</f>
        <v>19</v>
      </c>
      <c r="AD66" s="323">
        <f>(AB66*K66)+(0.02*K66)</f>
        <v>27.75</v>
      </c>
      <c r="AE66" s="330">
        <v>0.5</v>
      </c>
      <c r="AF66" s="367">
        <f>$AE66*M66</f>
        <v>0</v>
      </c>
      <c r="AG66" s="367">
        <f>$AE66*N66</f>
        <v>0</v>
      </c>
      <c r="AH66" s="331">
        <f>$AE66*P66</f>
        <v>0</v>
      </c>
      <c r="AI66" s="398">
        <v>0</v>
      </c>
      <c r="AJ66" s="881">
        <f>Z66+AC66+AF66+AH66</f>
        <v>1074.9999999999998</v>
      </c>
      <c r="AK66" s="394">
        <f>AA66+AD66+AG66+AI66</f>
        <v>1225.75</v>
      </c>
      <c r="AL66" s="394" t="s">
        <v>26</v>
      </c>
      <c r="AM66" s="394" t="s">
        <v>26</v>
      </c>
      <c r="AN66" s="394">
        <f t="shared" si="11"/>
        <v>21.12</v>
      </c>
      <c r="AO66" s="42"/>
      <c r="AP66" s="532"/>
      <c r="AQ66" s="42"/>
      <c r="AR66" s="532"/>
      <c r="AS66" s="497"/>
      <c r="AT66" s="41"/>
      <c r="AU66" s="44"/>
    </row>
    <row r="67" spans="1:47" ht="28.8" x14ac:dyDescent="0.3">
      <c r="A67" s="1080"/>
      <c r="B67" s="117">
        <v>24</v>
      </c>
      <c r="C67" s="113">
        <v>8.0500000000000007</v>
      </c>
      <c r="D67" s="138">
        <v>20.37</v>
      </c>
      <c r="E67" s="6">
        <f>43.7*20</f>
        <v>874</v>
      </c>
      <c r="F67" s="127" t="s">
        <v>26</v>
      </c>
      <c r="G67" s="117">
        <f>125*5</f>
        <v>625</v>
      </c>
      <c r="H67" s="113">
        <v>8.77</v>
      </c>
      <c r="I67" s="6">
        <v>20.48</v>
      </c>
      <c r="J67" s="408">
        <f>16.8*20</f>
        <v>336</v>
      </c>
      <c r="K67" s="480" t="s">
        <v>26</v>
      </c>
      <c r="L67" s="364" t="s">
        <v>26</v>
      </c>
      <c r="M67" s="408" t="s">
        <v>26</v>
      </c>
      <c r="N67" s="480" t="s">
        <v>26</v>
      </c>
      <c r="O67" s="364" t="s">
        <v>26</v>
      </c>
      <c r="P67" s="295" t="s">
        <v>26</v>
      </c>
      <c r="Q67" s="480" t="s">
        <v>26</v>
      </c>
      <c r="R67" s="113" t="s">
        <v>26</v>
      </c>
      <c r="S67" s="6" t="s">
        <v>26</v>
      </c>
      <c r="T67" s="21" t="s">
        <v>26</v>
      </c>
      <c r="U67" s="242"/>
      <c r="V67" s="1083"/>
      <c r="W67" s="646" t="s">
        <v>189</v>
      </c>
      <c r="X67" s="573"/>
      <c r="Y67" s="419">
        <f>Y66-0.02</f>
        <v>0.96</v>
      </c>
      <c r="Z67" s="138">
        <f>($Y67*E67)+SUM(AN66:AN67)</f>
        <v>877.64</v>
      </c>
      <c r="AA67" s="138" t="s">
        <v>26</v>
      </c>
      <c r="AB67" s="419" t="s">
        <v>26</v>
      </c>
      <c r="AC67" s="138" t="s">
        <v>26</v>
      </c>
      <c r="AD67" s="138" t="s">
        <v>26</v>
      </c>
      <c r="AE67" s="333">
        <v>0.5</v>
      </c>
      <c r="AF67" s="325" t="s">
        <v>26</v>
      </c>
      <c r="AG67" s="325" t="s">
        <v>26</v>
      </c>
      <c r="AH67" s="334" t="s">
        <v>26</v>
      </c>
      <c r="AI67" s="737" t="s">
        <v>26</v>
      </c>
      <c r="AJ67" s="324" t="s">
        <v>26</v>
      </c>
      <c r="AK67" s="325" t="s">
        <v>26</v>
      </c>
      <c r="AL67" s="325" t="s">
        <v>26</v>
      </c>
      <c r="AM67" s="334" t="s">
        <v>26</v>
      </c>
      <c r="AN67" s="334">
        <f t="shared" si="11"/>
        <v>17.48</v>
      </c>
      <c r="AO67" s="7"/>
      <c r="AP67" s="302"/>
      <c r="AQ67" s="7"/>
      <c r="AR67" s="302"/>
      <c r="AS67" s="535"/>
      <c r="AT67" s="30"/>
      <c r="AU67" s="31"/>
    </row>
    <row r="68" spans="1:47" x14ac:dyDescent="0.3">
      <c r="A68" s="1080"/>
      <c r="B68" s="117">
        <f>24*4</f>
        <v>96</v>
      </c>
      <c r="C68" s="619">
        <v>8.52</v>
      </c>
      <c r="D68" s="320">
        <v>22.8</v>
      </c>
      <c r="E68" s="127">
        <f>37.2*20</f>
        <v>744</v>
      </c>
      <c r="F68" s="127" t="s">
        <v>26</v>
      </c>
      <c r="G68" s="117">
        <f>508*5</f>
        <v>2540</v>
      </c>
      <c r="H68" s="113" t="s">
        <v>26</v>
      </c>
      <c r="I68" s="6" t="s">
        <v>26</v>
      </c>
      <c r="J68" s="408" t="s">
        <v>26</v>
      </c>
      <c r="K68" s="480" t="s">
        <v>26</v>
      </c>
      <c r="L68" s="364" t="s">
        <v>26</v>
      </c>
      <c r="M68" s="21" t="s">
        <v>26</v>
      </c>
      <c r="N68" s="480" t="s">
        <v>26</v>
      </c>
      <c r="O68" s="364" t="s">
        <v>26</v>
      </c>
      <c r="P68" s="295" t="s">
        <v>26</v>
      </c>
      <c r="Q68" s="480" t="s">
        <v>26</v>
      </c>
      <c r="R68" s="113" t="s">
        <v>26</v>
      </c>
      <c r="S68" s="6" t="s">
        <v>26</v>
      </c>
      <c r="T68" s="21" t="s">
        <v>26</v>
      </c>
      <c r="U68" s="31"/>
      <c r="V68" s="1083"/>
      <c r="W68" s="646" t="s">
        <v>92</v>
      </c>
      <c r="X68" s="573"/>
      <c r="Y68" s="419">
        <f t="shared" ref="Y68" si="13">Y67-0.02</f>
        <v>0.94</v>
      </c>
      <c r="Z68" s="138">
        <f>($Y68*E68)+SUM(AN66:AN68)</f>
        <v>752.84</v>
      </c>
      <c r="AA68" s="138" t="s">
        <v>26</v>
      </c>
      <c r="AB68" s="419" t="s">
        <v>26</v>
      </c>
      <c r="AC68" s="138" t="s">
        <v>26</v>
      </c>
      <c r="AD68" s="138" t="s">
        <v>26</v>
      </c>
      <c r="AE68" s="333">
        <v>0.5</v>
      </c>
      <c r="AF68" s="325" t="s">
        <v>26</v>
      </c>
      <c r="AG68" s="325" t="s">
        <v>26</v>
      </c>
      <c r="AH68" s="334" t="s">
        <v>26</v>
      </c>
      <c r="AI68" s="737" t="s">
        <v>26</v>
      </c>
      <c r="AJ68" s="324" t="s">
        <v>26</v>
      </c>
      <c r="AK68" s="325" t="s">
        <v>26</v>
      </c>
      <c r="AL68" s="325" t="s">
        <v>26</v>
      </c>
      <c r="AM68" s="334" t="s">
        <v>26</v>
      </c>
      <c r="AN68" s="334">
        <f t="shared" si="11"/>
        <v>14.88</v>
      </c>
      <c r="AO68" s="413"/>
      <c r="AP68" s="302"/>
      <c r="AQ68" s="413"/>
      <c r="AR68" s="302"/>
      <c r="AS68" s="535"/>
      <c r="AT68" s="30"/>
      <c r="AU68" s="31"/>
    </row>
    <row r="69" spans="1:47" ht="15" thickBot="1" x14ac:dyDescent="0.35">
      <c r="A69" s="1081"/>
      <c r="B69" s="434">
        <f>24*5</f>
        <v>120</v>
      </c>
      <c r="C69" s="435">
        <v>8.3800000000000008</v>
      </c>
      <c r="D69" s="727">
        <v>23.5</v>
      </c>
      <c r="E69" s="437">
        <f>29.2*20</f>
        <v>584</v>
      </c>
      <c r="F69" s="437">
        <v>585</v>
      </c>
      <c r="G69" s="434">
        <f>195*5</f>
        <v>975</v>
      </c>
      <c r="H69" s="435">
        <v>8.4</v>
      </c>
      <c r="I69" s="437">
        <v>23.2</v>
      </c>
      <c r="J69" s="444">
        <f>32.6*20</f>
        <v>652</v>
      </c>
      <c r="K69" s="507">
        <v>609</v>
      </c>
      <c r="L69" s="508">
        <v>58.4</v>
      </c>
      <c r="M69" s="444">
        <f>4.82*20</f>
        <v>96.4</v>
      </c>
      <c r="N69" s="507">
        <f>6.18*20</f>
        <v>123.6</v>
      </c>
      <c r="O69" s="508">
        <v>61.2</v>
      </c>
      <c r="P69" s="509">
        <v>0</v>
      </c>
      <c r="Q69" s="507">
        <v>0.83399999999999996</v>
      </c>
      <c r="R69" s="885" t="s">
        <v>26</v>
      </c>
      <c r="S69" s="884" t="s">
        <v>26</v>
      </c>
      <c r="T69" s="884" t="s">
        <v>93</v>
      </c>
      <c r="U69" s="883">
        <v>0</v>
      </c>
      <c r="V69" s="1084"/>
      <c r="W69" s="886" t="s">
        <v>86</v>
      </c>
      <c r="X69" s="573"/>
      <c r="Y69" s="440">
        <f>Y68</f>
        <v>0.94</v>
      </c>
      <c r="Z69" s="439">
        <f>($Y69*E69)+SUM(AN66:AN68)</f>
        <v>602.43999999999994</v>
      </c>
      <c r="AA69" s="439">
        <f>($Y69*F69)+(0.02*F66)</f>
        <v>573.86</v>
      </c>
      <c r="AB69" s="440">
        <v>0.48</v>
      </c>
      <c r="AC69" s="439">
        <f>(AB69*J69)+(0.02*J66)</f>
        <v>313.71999999999997</v>
      </c>
      <c r="AD69" s="439">
        <f>($AB69*K69)+(0.02*K66)</f>
        <v>293.43</v>
      </c>
      <c r="AE69" s="513">
        <v>0.5</v>
      </c>
      <c r="AF69" s="509">
        <f>$AE69*M69</f>
        <v>48.2</v>
      </c>
      <c r="AG69" s="509">
        <f>$AE69*N69</f>
        <v>61.8</v>
      </c>
      <c r="AH69" s="445">
        <f>$AE69*P69</f>
        <v>0</v>
      </c>
      <c r="AI69" s="441">
        <f>$AE69*Q69</f>
        <v>0.41699999999999998</v>
      </c>
      <c r="AJ69" s="880">
        <f>Z69+AC69+AF69+AH69</f>
        <v>964.3599999999999</v>
      </c>
      <c r="AK69" s="445">
        <f>AA69+AD69+AG69+AI69</f>
        <v>929.50699999999995</v>
      </c>
      <c r="AL69" s="445">
        <f>AJ69-AJ66</f>
        <v>-110.63999999999987</v>
      </c>
      <c r="AM69" s="445">
        <f>AK69-AK66</f>
        <v>-296.24300000000005</v>
      </c>
      <c r="AN69" s="445" t="s">
        <v>26</v>
      </c>
      <c r="AO69" s="445">
        <f>(AF69+AH69)*10/100/(B69/24)</f>
        <v>0.96400000000000008</v>
      </c>
      <c r="AP69" s="531">
        <f>(AF69+AH69)/Z66</f>
        <v>4.5643939393939403E-2</v>
      </c>
      <c r="AQ69" s="445">
        <f>(Z66-Z69)*10/100/(B69/24)</f>
        <v>9.0711999999999975</v>
      </c>
      <c r="AR69" s="531">
        <f>(Z66-Z69)/Z66</f>
        <v>0.4295075757575757</v>
      </c>
      <c r="AS69" s="887">
        <f>((AC69+AF69)-AC66)/Z66</f>
        <v>0.32473484848484852</v>
      </c>
      <c r="AT69" s="475">
        <f>AU69/10</f>
        <v>5.1799999999999999E-2</v>
      </c>
      <c r="AU69" s="903">
        <f>((G66+$T$1)-G69)/(1000*(B69/24))</f>
        <v>0.51800000000000002</v>
      </c>
    </row>
    <row r="70" spans="1:47" ht="43.8" thickTop="1" x14ac:dyDescent="0.3">
      <c r="A70" s="1079">
        <v>16</v>
      </c>
      <c r="B70" s="114">
        <v>0</v>
      </c>
      <c r="C70" s="610">
        <v>7.7</v>
      </c>
      <c r="D70" s="621">
        <v>20.03</v>
      </c>
      <c r="E70" s="621">
        <v>850</v>
      </c>
      <c r="F70" s="610">
        <f>52.5*20</f>
        <v>1050</v>
      </c>
      <c r="G70" s="610">
        <f>229*5</f>
        <v>1145</v>
      </c>
      <c r="H70" s="181">
        <v>7.52</v>
      </c>
      <c r="I70" s="615">
        <v>19.28</v>
      </c>
      <c r="J70" s="246">
        <v>0</v>
      </c>
      <c r="K70" s="247">
        <v>1</v>
      </c>
      <c r="L70" s="484" t="s">
        <v>26</v>
      </c>
      <c r="M70" s="79">
        <v>0</v>
      </c>
      <c r="N70" s="247">
        <v>0</v>
      </c>
      <c r="O70" s="489"/>
      <c r="P70" s="301"/>
      <c r="Q70" s="486"/>
      <c r="R70" s="612" t="s">
        <v>26</v>
      </c>
      <c r="S70" s="615" t="s">
        <v>26</v>
      </c>
      <c r="T70" s="246" t="s">
        <v>26</v>
      </c>
      <c r="U70" s="241"/>
      <c r="V70" s="1082">
        <v>150</v>
      </c>
      <c r="W70" s="646" t="s">
        <v>200</v>
      </c>
      <c r="X70" s="573"/>
      <c r="Y70" s="405">
        <f>1-0.02</f>
        <v>0.98</v>
      </c>
      <c r="Z70" s="323">
        <f>($Y70*E70)+AN70</f>
        <v>850</v>
      </c>
      <c r="AA70" s="323">
        <f>($Y70*F70)+(0.02*F70)</f>
        <v>1050</v>
      </c>
      <c r="AB70" s="405">
        <v>0.48</v>
      </c>
      <c r="AC70" s="323">
        <f>(AB70*J70)+(0.02*J70)</f>
        <v>0</v>
      </c>
      <c r="AD70" s="323">
        <f>(AB70*K70)+(0.02*K70)</f>
        <v>0.5</v>
      </c>
      <c r="AE70" s="330">
        <v>0.3</v>
      </c>
      <c r="AF70" s="367">
        <f>$AE70*M70</f>
        <v>0</v>
      </c>
      <c r="AG70" s="367">
        <f>$AE70*N70</f>
        <v>0</v>
      </c>
      <c r="AH70" s="331">
        <f>$AE70*P70</f>
        <v>0</v>
      </c>
      <c r="AI70" s="331">
        <v>0</v>
      </c>
      <c r="AJ70" s="393">
        <f>Z70+AC70+AF70+AH70</f>
        <v>850</v>
      </c>
      <c r="AK70" s="394">
        <f>AA70+AD70+AG70+AI70</f>
        <v>1050.5</v>
      </c>
      <c r="AL70" s="394" t="s">
        <v>26</v>
      </c>
      <c r="AM70" s="394" t="s">
        <v>26</v>
      </c>
      <c r="AN70" s="394">
        <f t="shared" si="11"/>
        <v>17</v>
      </c>
      <c r="AO70" s="42"/>
      <c r="AP70" s="532"/>
      <c r="AQ70" s="43"/>
      <c r="AR70" s="301"/>
      <c r="AS70" s="821"/>
      <c r="AT70" s="41"/>
      <c r="AU70" s="44"/>
    </row>
    <row r="71" spans="1:47" ht="28.8" x14ac:dyDescent="0.3">
      <c r="A71" s="1080"/>
      <c r="B71" s="117">
        <v>88</v>
      </c>
      <c r="C71" s="113">
        <v>8.23</v>
      </c>
      <c r="D71" s="138">
        <v>16.579999999999998</v>
      </c>
      <c r="E71" s="6">
        <v>329</v>
      </c>
      <c r="F71" s="127" t="s">
        <v>26</v>
      </c>
      <c r="G71" s="117">
        <f>56*5</f>
        <v>280</v>
      </c>
      <c r="H71" s="113" t="s">
        <v>26</v>
      </c>
      <c r="I71" s="6" t="s">
        <v>26</v>
      </c>
      <c r="J71" s="408" t="s">
        <v>26</v>
      </c>
      <c r="K71" s="480" t="s">
        <v>26</v>
      </c>
      <c r="L71" s="364" t="s">
        <v>26</v>
      </c>
      <c r="M71" s="408" t="s">
        <v>26</v>
      </c>
      <c r="N71" s="480" t="s">
        <v>26</v>
      </c>
      <c r="O71" s="489"/>
      <c r="P71" s="302"/>
      <c r="Q71" s="494"/>
      <c r="R71" s="113" t="s">
        <v>26</v>
      </c>
      <c r="S71" s="6" t="s">
        <v>26</v>
      </c>
      <c r="T71" s="21" t="s">
        <v>26</v>
      </c>
      <c r="U71" s="242"/>
      <c r="V71" s="1083"/>
      <c r="W71" s="648" t="s">
        <v>189</v>
      </c>
      <c r="X71" s="573"/>
      <c r="Y71" s="419">
        <f>Y70-0.02</f>
        <v>0.96</v>
      </c>
      <c r="Z71" s="138">
        <f>($Y71*E71)+SUM(AN70:AN71)</f>
        <v>339.41999999999996</v>
      </c>
      <c r="AA71" s="138" t="s">
        <v>26</v>
      </c>
      <c r="AB71" s="419" t="s">
        <v>26</v>
      </c>
      <c r="AC71" s="138" t="s">
        <v>26</v>
      </c>
      <c r="AD71" s="138" t="s">
        <v>26</v>
      </c>
      <c r="AE71" s="333">
        <v>0.3</v>
      </c>
      <c r="AF71" s="325" t="s">
        <v>26</v>
      </c>
      <c r="AG71" s="325" t="s">
        <v>26</v>
      </c>
      <c r="AH71" s="334" t="s">
        <v>26</v>
      </c>
      <c r="AI71" s="334" t="s">
        <v>26</v>
      </c>
      <c r="AJ71" s="333" t="s">
        <v>26</v>
      </c>
      <c r="AK71" s="325" t="s">
        <v>26</v>
      </c>
      <c r="AL71" s="325" t="s">
        <v>26</v>
      </c>
      <c r="AM71" s="334" t="s">
        <v>26</v>
      </c>
      <c r="AN71" s="334">
        <f t="shared" si="11"/>
        <v>6.58</v>
      </c>
      <c r="AO71" s="42"/>
      <c r="AP71" s="302"/>
      <c r="AQ71" s="43"/>
      <c r="AR71" s="302"/>
      <c r="AS71" s="822"/>
      <c r="AT71" s="30"/>
      <c r="AU71" s="31"/>
    </row>
    <row r="72" spans="1:47" x14ac:dyDescent="0.3">
      <c r="A72" s="1080"/>
      <c r="B72" s="117" t="s">
        <v>100</v>
      </c>
      <c r="C72" s="619">
        <v>8.1300000000000008</v>
      </c>
      <c r="D72" s="320">
        <v>18.440000000000001</v>
      </c>
      <c r="E72" s="127">
        <v>260</v>
      </c>
      <c r="F72" s="127" t="s">
        <v>26</v>
      </c>
      <c r="G72" s="117">
        <f>255*5</f>
        <v>1275</v>
      </c>
      <c r="H72" s="113" t="s">
        <v>26</v>
      </c>
      <c r="I72" s="6" t="s">
        <v>26</v>
      </c>
      <c r="J72" s="408" t="s">
        <v>26</v>
      </c>
      <c r="K72" s="480" t="s">
        <v>26</v>
      </c>
      <c r="L72" s="364" t="s">
        <v>26</v>
      </c>
      <c r="M72" s="21" t="s">
        <v>26</v>
      </c>
      <c r="N72" s="480" t="s">
        <v>26</v>
      </c>
      <c r="O72" s="489"/>
      <c r="P72" s="302"/>
      <c r="Q72" s="494"/>
      <c r="R72" s="113" t="s">
        <v>26</v>
      </c>
      <c r="S72" s="6" t="s">
        <v>26</v>
      </c>
      <c r="T72" s="21" t="s">
        <v>26</v>
      </c>
      <c r="U72" s="31"/>
      <c r="V72" s="1083"/>
      <c r="W72" s="646" t="s">
        <v>92</v>
      </c>
      <c r="X72" s="573"/>
      <c r="Y72" s="419">
        <f t="shared" ref="Y72" si="14">Y71-0.02</f>
        <v>0.94</v>
      </c>
      <c r="Z72" s="138">
        <f>($Y72*E72)+SUM(AN70:AN72)</f>
        <v>273.17999999999995</v>
      </c>
      <c r="AA72" s="138" t="s">
        <v>26</v>
      </c>
      <c r="AB72" s="419" t="s">
        <v>26</v>
      </c>
      <c r="AC72" s="138" t="s">
        <v>26</v>
      </c>
      <c r="AD72" s="138" t="s">
        <v>26</v>
      </c>
      <c r="AE72" s="333">
        <v>0.3</v>
      </c>
      <c r="AF72" s="325" t="s">
        <v>26</v>
      </c>
      <c r="AG72" s="325" t="s">
        <v>26</v>
      </c>
      <c r="AH72" s="334" t="s">
        <v>26</v>
      </c>
      <c r="AI72" s="334" t="s">
        <v>26</v>
      </c>
      <c r="AJ72" s="333" t="s">
        <v>26</v>
      </c>
      <c r="AK72" s="325" t="s">
        <v>26</v>
      </c>
      <c r="AL72" s="325" t="s">
        <v>26</v>
      </c>
      <c r="AM72" s="334" t="s">
        <v>26</v>
      </c>
      <c r="AN72" s="334">
        <f t="shared" si="11"/>
        <v>5.2</v>
      </c>
      <c r="AO72" s="7"/>
      <c r="AP72" s="302"/>
      <c r="AQ72" s="35"/>
      <c r="AR72" s="302"/>
      <c r="AS72" s="819"/>
      <c r="AT72" s="30"/>
      <c r="AU72" s="31"/>
    </row>
    <row r="73" spans="1:47" ht="15" thickBot="1" x14ac:dyDescent="0.35">
      <c r="A73" s="1081"/>
      <c r="B73" s="305">
        <v>114.5</v>
      </c>
      <c r="C73" s="306">
        <v>8.01</v>
      </c>
      <c r="D73" s="449">
        <v>16.940000000000001</v>
      </c>
      <c r="E73" s="308">
        <v>189</v>
      </c>
      <c r="F73" s="308">
        <v>242</v>
      </c>
      <c r="G73" s="305">
        <f>176*5</f>
        <v>880</v>
      </c>
      <c r="H73" s="306">
        <v>11.64</v>
      </c>
      <c r="I73" s="308">
        <v>26.1</v>
      </c>
      <c r="J73" s="313">
        <v>537</v>
      </c>
      <c r="K73" s="481">
        <v>598</v>
      </c>
      <c r="L73" s="482">
        <v>28.9</v>
      </c>
      <c r="M73" s="313">
        <v>1140</v>
      </c>
      <c r="N73" s="481">
        <f>63.4*20</f>
        <v>1268</v>
      </c>
      <c r="O73" s="499"/>
      <c r="P73" s="500"/>
      <c r="Q73" s="501"/>
      <c r="R73" s="312" t="s">
        <v>26</v>
      </c>
      <c r="S73" s="308" t="s">
        <v>26</v>
      </c>
      <c r="T73" s="313" t="s">
        <v>26</v>
      </c>
      <c r="U73" s="305">
        <v>23.3</v>
      </c>
      <c r="V73" s="1084"/>
      <c r="W73" s="662" t="s">
        <v>86</v>
      </c>
      <c r="X73" s="573"/>
      <c r="Y73" s="417">
        <f>Y72</f>
        <v>0.94</v>
      </c>
      <c r="Z73" s="307">
        <f>($Y73*E73)+SUM(AN70:AN72)</f>
        <v>206.44</v>
      </c>
      <c r="AA73" s="307">
        <f>($Y73*F73)+(0.02*F70)</f>
        <v>248.48</v>
      </c>
      <c r="AB73" s="417">
        <v>0.48</v>
      </c>
      <c r="AC73" s="307">
        <f>(AB73*J73)+(0.02*J70)</f>
        <v>257.76</v>
      </c>
      <c r="AD73" s="307">
        <f>($AB73*K73)+(0.02*K70)</f>
        <v>287.05999999999995</v>
      </c>
      <c r="AE73" s="510">
        <v>0.3</v>
      </c>
      <c r="AF73" s="483">
        <f>$AE73*M73</f>
        <v>342</v>
      </c>
      <c r="AG73" s="483">
        <f>$AE73*N73</f>
        <v>380.4</v>
      </c>
      <c r="AH73" s="388" t="s">
        <v>26</v>
      </c>
      <c r="AI73" s="388" t="s">
        <v>26</v>
      </c>
      <c r="AJ73" s="387">
        <f>Z73+AC73+AF73</f>
        <v>806.2</v>
      </c>
      <c r="AK73" s="388">
        <f>AA73+AD73+AG73</f>
        <v>915.93999999999994</v>
      </c>
      <c r="AL73" s="388">
        <f>AJ73-AJ70</f>
        <v>-43.799999999999955</v>
      </c>
      <c r="AM73" s="388">
        <f>AK73-AK70</f>
        <v>-134.56000000000006</v>
      </c>
      <c r="AN73" s="388" t="s">
        <v>26</v>
      </c>
      <c r="AO73" s="388">
        <f>(AF73)*10/100/(B73/24)</f>
        <v>7.1685589519650668</v>
      </c>
      <c r="AP73" s="529">
        <f>AF73/Z70</f>
        <v>0.40235294117647058</v>
      </c>
      <c r="AQ73" s="388">
        <f>(Z70-Z73)*10/100/(B73/24)</f>
        <v>13.489467248908296</v>
      </c>
      <c r="AR73" s="529">
        <f>(Z70-Z73)/Z70</f>
        <v>0.75712941176470583</v>
      </c>
      <c r="AS73" s="851">
        <f>((AC73+AF73)-AC70)/Z70</f>
        <v>0.7056</v>
      </c>
      <c r="AT73" s="472">
        <f>AU73/10</f>
        <v>6.4244541484716172E-2</v>
      </c>
      <c r="AU73" s="900">
        <f>((G70+$T$2)-G73)/(1000*(B73/24))</f>
        <v>0.64244541484716167</v>
      </c>
    </row>
    <row r="74" spans="1:47" ht="15" thickTop="1" x14ac:dyDescent="0.3">
      <c r="A74" s="1079">
        <v>17</v>
      </c>
      <c r="B74" s="322">
        <v>0</v>
      </c>
      <c r="C74" s="613">
        <v>7.61</v>
      </c>
      <c r="D74" s="323">
        <v>20.39</v>
      </c>
      <c r="E74" s="323">
        <v>963</v>
      </c>
      <c r="F74" s="323">
        <f>58*20</f>
        <v>1160</v>
      </c>
      <c r="G74" s="610">
        <f>358*5</f>
        <v>1790</v>
      </c>
      <c r="H74" s="181">
        <v>7.39</v>
      </c>
      <c r="I74" s="615">
        <v>19.059999999999999</v>
      </c>
      <c r="J74" s="246">
        <v>0</v>
      </c>
      <c r="K74" s="247">
        <v>3.72</v>
      </c>
      <c r="L74" s="484" t="s">
        <v>26</v>
      </c>
      <c r="M74" s="79">
        <v>0</v>
      </c>
      <c r="N74" s="247">
        <v>0</v>
      </c>
      <c r="O74" s="489"/>
      <c r="P74" s="301"/>
      <c r="Q74" s="495"/>
      <c r="R74" s="612" t="s">
        <v>26</v>
      </c>
      <c r="S74" s="615" t="s">
        <v>26</v>
      </c>
      <c r="T74" s="246" t="s">
        <v>26</v>
      </c>
      <c r="U74" s="241"/>
      <c r="V74" s="1082">
        <v>150</v>
      </c>
      <c r="W74" s="105" t="s">
        <v>103</v>
      </c>
      <c r="X74" s="573"/>
      <c r="Y74" s="405">
        <f>1-0.02</f>
        <v>0.98</v>
      </c>
      <c r="Z74" s="323">
        <f>($Y74*E74)+AN74</f>
        <v>963</v>
      </c>
      <c r="AA74" s="323">
        <f>($Y74*F74)+(0.02*F74)</f>
        <v>1160</v>
      </c>
      <c r="AB74" s="405">
        <v>0.48</v>
      </c>
      <c r="AC74" s="323">
        <f>(AB74*J74)+(0.02*J74)</f>
        <v>0</v>
      </c>
      <c r="AD74" s="323">
        <f>(AB74*K74)+(0.02*K74)</f>
        <v>1.86</v>
      </c>
      <c r="AE74" s="330">
        <v>0.3</v>
      </c>
      <c r="AF74" s="367">
        <f>$AE74*M74</f>
        <v>0</v>
      </c>
      <c r="AG74" s="367">
        <f>$AE74*N74</f>
        <v>0</v>
      </c>
      <c r="AH74" s="517" t="s">
        <v>26</v>
      </c>
      <c r="AI74" s="518" t="s">
        <v>26</v>
      </c>
      <c r="AJ74" s="374">
        <f>Z74+AC74+AF74</f>
        <v>963</v>
      </c>
      <c r="AK74" s="331">
        <f>AA74+AD74+AG74</f>
        <v>1161.8599999999999</v>
      </c>
      <c r="AL74" s="331" t="s">
        <v>26</v>
      </c>
      <c r="AM74" s="331" t="s">
        <v>26</v>
      </c>
      <c r="AN74" s="331">
        <f t="shared" si="11"/>
        <v>19.260000000000002</v>
      </c>
      <c r="AO74" s="301"/>
      <c r="AP74" s="301"/>
      <c r="AQ74" s="301"/>
      <c r="AR74" s="301"/>
      <c r="AS74" s="823"/>
      <c r="AT74" s="41"/>
      <c r="AU74" s="44"/>
    </row>
    <row r="75" spans="1:47" x14ac:dyDescent="0.3">
      <c r="A75" s="1080"/>
      <c r="B75" s="114">
        <v>22</v>
      </c>
      <c r="C75" s="611">
        <v>7.79</v>
      </c>
      <c r="D75" s="622">
        <v>18.73</v>
      </c>
      <c r="E75" s="138">
        <v>667</v>
      </c>
      <c r="F75" s="180" t="s">
        <v>26</v>
      </c>
      <c r="G75" s="117">
        <f>114*5</f>
        <v>570</v>
      </c>
      <c r="H75" s="324" t="s">
        <v>26</v>
      </c>
      <c r="I75" s="138" t="s">
        <v>26</v>
      </c>
      <c r="J75" s="325" t="s">
        <v>26</v>
      </c>
      <c r="K75" s="326" t="s">
        <v>26</v>
      </c>
      <c r="L75" s="324" t="s">
        <v>26</v>
      </c>
      <c r="M75" s="496" t="s">
        <v>26</v>
      </c>
      <c r="N75" s="326" t="s">
        <v>26</v>
      </c>
      <c r="O75" s="489"/>
      <c r="P75" s="497"/>
      <c r="Q75" s="494"/>
      <c r="R75" s="614" t="s">
        <v>26</v>
      </c>
      <c r="S75" s="138" t="s">
        <v>26</v>
      </c>
      <c r="T75" s="325" t="s">
        <v>26</v>
      </c>
      <c r="U75" s="31"/>
      <c r="V75" s="1083"/>
      <c r="W75" s="105" t="s">
        <v>103</v>
      </c>
      <c r="X75" s="573"/>
      <c r="Y75" s="419">
        <f>Y74-0.02</f>
        <v>0.96</v>
      </c>
      <c r="Z75" s="38">
        <f>($Y75*E75)+SUM(AN74:AN75)</f>
        <v>672.92</v>
      </c>
      <c r="AA75" s="38" t="s">
        <v>26</v>
      </c>
      <c r="AB75" s="418" t="s">
        <v>26</v>
      </c>
      <c r="AC75" s="38" t="s">
        <v>26</v>
      </c>
      <c r="AD75" s="38" t="s">
        <v>26</v>
      </c>
      <c r="AE75" s="514">
        <v>0.3</v>
      </c>
      <c r="AF75" s="79" t="s">
        <v>26</v>
      </c>
      <c r="AG75" s="79" t="s">
        <v>26</v>
      </c>
      <c r="AH75" s="519" t="s">
        <v>26</v>
      </c>
      <c r="AI75" s="520" t="s">
        <v>26</v>
      </c>
      <c r="AJ75" s="393" t="s">
        <v>26</v>
      </c>
      <c r="AK75" s="394" t="s">
        <v>26</v>
      </c>
      <c r="AL75" s="394" t="s">
        <v>26</v>
      </c>
      <c r="AM75" s="394" t="s">
        <v>26</v>
      </c>
      <c r="AN75" s="394">
        <f t="shared" si="11"/>
        <v>13.34</v>
      </c>
      <c r="AO75" s="42"/>
      <c r="AP75" s="532"/>
      <c r="AQ75" s="43"/>
      <c r="AR75" s="532"/>
      <c r="AS75" s="821"/>
      <c r="AT75" s="30"/>
      <c r="AU75" s="31"/>
    </row>
    <row r="76" spans="1:47" ht="28.8" x14ac:dyDescent="0.3">
      <c r="A76" s="1080"/>
      <c r="B76" s="117">
        <v>48</v>
      </c>
      <c r="C76" s="113">
        <v>7.76</v>
      </c>
      <c r="D76" s="138">
        <v>17.82</v>
      </c>
      <c r="E76" s="6">
        <v>536</v>
      </c>
      <c r="F76" s="127" t="s">
        <v>26</v>
      </c>
      <c r="G76" s="117">
        <f>52.2*5</f>
        <v>261</v>
      </c>
      <c r="H76" s="113" t="s">
        <v>26</v>
      </c>
      <c r="I76" s="6" t="s">
        <v>26</v>
      </c>
      <c r="J76" s="408" t="s">
        <v>26</v>
      </c>
      <c r="K76" s="480" t="s">
        <v>26</v>
      </c>
      <c r="L76" s="364" t="s">
        <v>26</v>
      </c>
      <c r="M76" s="408" t="s">
        <v>26</v>
      </c>
      <c r="N76" s="480" t="s">
        <v>26</v>
      </c>
      <c r="O76" s="489"/>
      <c r="P76" s="302"/>
      <c r="Q76" s="498"/>
      <c r="R76" s="113">
        <v>-0.1113</v>
      </c>
      <c r="S76" s="6">
        <v>-8.4699999999999998E-2</v>
      </c>
      <c r="T76" s="21" t="s">
        <v>26</v>
      </c>
      <c r="U76" s="31"/>
      <c r="V76" s="1083"/>
      <c r="W76" s="646" t="s">
        <v>194</v>
      </c>
      <c r="X76" s="573"/>
      <c r="Y76" s="419">
        <f t="shared" ref="Y76" si="15">Y75-0.02</f>
        <v>0.94</v>
      </c>
      <c r="Z76" s="138">
        <f>($Y76*E76)+SUM(AN74:AN76)</f>
        <v>547.16</v>
      </c>
      <c r="AA76" s="138" t="s">
        <v>26</v>
      </c>
      <c r="AB76" s="419" t="s">
        <v>26</v>
      </c>
      <c r="AC76" s="138" t="s">
        <v>26</v>
      </c>
      <c r="AD76" s="138" t="s">
        <v>26</v>
      </c>
      <c r="AE76" s="333">
        <v>0.3</v>
      </c>
      <c r="AF76" s="325" t="s">
        <v>26</v>
      </c>
      <c r="AG76" s="325" t="s">
        <v>26</v>
      </c>
      <c r="AH76" s="521" t="s">
        <v>26</v>
      </c>
      <c r="AI76" s="522" t="s">
        <v>26</v>
      </c>
      <c r="AJ76" s="333" t="s">
        <v>26</v>
      </c>
      <c r="AK76" s="325" t="s">
        <v>26</v>
      </c>
      <c r="AL76" s="325" t="s">
        <v>26</v>
      </c>
      <c r="AM76" s="334" t="s">
        <v>26</v>
      </c>
      <c r="AN76" s="334">
        <f t="shared" si="11"/>
        <v>10.72</v>
      </c>
      <c r="AO76" s="302"/>
      <c r="AP76" s="302"/>
      <c r="AQ76" s="302"/>
      <c r="AR76" s="302"/>
      <c r="AS76" s="822"/>
      <c r="AT76" s="30"/>
      <c r="AU76" s="31"/>
    </row>
    <row r="77" spans="1:47" x14ac:dyDescent="0.3">
      <c r="A77" s="1080"/>
      <c r="B77" s="117" t="s">
        <v>102</v>
      </c>
      <c r="C77" s="619">
        <v>7.79</v>
      </c>
      <c r="D77" s="320">
        <v>23</v>
      </c>
      <c r="E77" s="127">
        <v>519</v>
      </c>
      <c r="F77" s="127" t="s">
        <v>26</v>
      </c>
      <c r="G77" s="117">
        <f>1003*5</f>
        <v>5015</v>
      </c>
      <c r="H77" s="113" t="s">
        <v>26</v>
      </c>
      <c r="I77" s="6" t="s">
        <v>26</v>
      </c>
      <c r="J77" s="408" t="s">
        <v>26</v>
      </c>
      <c r="K77" s="480" t="s">
        <v>26</v>
      </c>
      <c r="L77" s="364" t="s">
        <v>26</v>
      </c>
      <c r="M77" s="21" t="s">
        <v>26</v>
      </c>
      <c r="N77" s="480" t="s">
        <v>26</v>
      </c>
      <c r="O77" s="489"/>
      <c r="P77" s="302"/>
      <c r="Q77" s="494"/>
      <c r="R77" s="113" t="s">
        <v>26</v>
      </c>
      <c r="S77" s="6" t="s">
        <v>26</v>
      </c>
      <c r="T77" s="21" t="s">
        <v>26</v>
      </c>
      <c r="U77" s="31"/>
      <c r="V77" s="1083"/>
      <c r="W77" s="646" t="s">
        <v>92</v>
      </c>
      <c r="X77" s="573"/>
      <c r="Y77" s="420">
        <f>Y76-0.02</f>
        <v>0.91999999999999993</v>
      </c>
      <c r="Z77" s="138">
        <f>($Y77*E77)+SUM(AN74:AN77)</f>
        <v>531.17999999999995</v>
      </c>
      <c r="AA77" s="138" t="s">
        <v>26</v>
      </c>
      <c r="AB77" s="419" t="s">
        <v>26</v>
      </c>
      <c r="AC77" s="138" t="s">
        <v>26</v>
      </c>
      <c r="AD77" s="138" t="s">
        <v>26</v>
      </c>
      <c r="AE77" s="333">
        <v>0.3</v>
      </c>
      <c r="AF77" s="325" t="s">
        <v>26</v>
      </c>
      <c r="AG77" s="325" t="s">
        <v>26</v>
      </c>
      <c r="AH77" s="521" t="s">
        <v>26</v>
      </c>
      <c r="AI77" s="522" t="s">
        <v>26</v>
      </c>
      <c r="AJ77" s="333" t="s">
        <v>26</v>
      </c>
      <c r="AK77" s="325" t="s">
        <v>26</v>
      </c>
      <c r="AL77" s="325" t="s">
        <v>26</v>
      </c>
      <c r="AM77" s="334" t="s">
        <v>26</v>
      </c>
      <c r="AN77" s="334">
        <f t="shared" si="11"/>
        <v>10.38</v>
      </c>
      <c r="AO77" s="302"/>
      <c r="AP77" s="302"/>
      <c r="AQ77" s="535"/>
      <c r="AR77" s="302"/>
      <c r="AS77" s="819"/>
      <c r="AT77" s="30"/>
      <c r="AU77" s="31"/>
    </row>
    <row r="78" spans="1:47" ht="15" thickBot="1" x14ac:dyDescent="0.35">
      <c r="A78" s="1081"/>
      <c r="B78" s="453">
        <v>120</v>
      </c>
      <c r="C78" s="454">
        <v>7.61</v>
      </c>
      <c r="D78" s="455">
        <v>18.22</v>
      </c>
      <c r="E78" s="456">
        <v>365</v>
      </c>
      <c r="F78" s="456">
        <v>303</v>
      </c>
      <c r="G78" s="453">
        <f>85.6*5</f>
        <v>428</v>
      </c>
      <c r="H78" s="454">
        <v>10.66</v>
      </c>
      <c r="I78" s="456">
        <v>24.7</v>
      </c>
      <c r="J78" s="464">
        <v>501</v>
      </c>
      <c r="K78" s="502">
        <v>630</v>
      </c>
      <c r="L78" s="503">
        <v>33.299999999999997</v>
      </c>
      <c r="M78" s="464">
        <v>1120</v>
      </c>
      <c r="N78" s="502">
        <f>67.8*20</f>
        <v>1356</v>
      </c>
      <c r="O78" s="504"/>
      <c r="P78" s="505"/>
      <c r="Q78" s="506"/>
      <c r="R78" s="534" t="s">
        <v>26</v>
      </c>
      <c r="S78" s="456" t="s">
        <v>26</v>
      </c>
      <c r="T78" s="464">
        <v>-0.1</v>
      </c>
      <c r="U78" s="502">
        <v>18.899999999999999</v>
      </c>
      <c r="V78" s="1084"/>
      <c r="W78" s="914" t="s">
        <v>86</v>
      </c>
      <c r="X78" s="573"/>
      <c r="Y78" s="915">
        <f>Y77</f>
        <v>0.91999999999999993</v>
      </c>
      <c r="Z78" s="461">
        <f>($Y78*E78)+SUM(AN74:AN77)</f>
        <v>389.49999999999994</v>
      </c>
      <c r="AA78" s="461">
        <f>($Y78*F78)+(0.02*F74)</f>
        <v>301.95999999999998</v>
      </c>
      <c r="AB78" s="462">
        <v>0.48</v>
      </c>
      <c r="AC78" s="461">
        <f>(AB78*J78)+(0.02*J74)</f>
        <v>240.48</v>
      </c>
      <c r="AD78" s="461">
        <f>($AB78*K78)+(0.02*K74)</f>
        <v>302.4744</v>
      </c>
      <c r="AE78" s="515">
        <v>0.3</v>
      </c>
      <c r="AF78" s="516">
        <f t="shared" ref="AF78:AG80" si="16">$AE78*M78</f>
        <v>336</v>
      </c>
      <c r="AG78" s="516">
        <f t="shared" si="16"/>
        <v>406.8</v>
      </c>
      <c r="AH78" s="528" t="s">
        <v>26</v>
      </c>
      <c r="AI78" s="526" t="s">
        <v>26</v>
      </c>
      <c r="AJ78" s="935">
        <f t="shared" ref="AJ78:AK80" si="17">Z78+AC78+AF78</f>
        <v>965.9799999999999</v>
      </c>
      <c r="AK78" s="936">
        <f t="shared" si="17"/>
        <v>1011.2344000000001</v>
      </c>
      <c r="AL78" s="936">
        <f>AJ78-AJ74</f>
        <v>2.9799999999999045</v>
      </c>
      <c r="AM78" s="936">
        <f>AK78-AK74</f>
        <v>-150.62559999999985</v>
      </c>
      <c r="AN78" s="936" t="s">
        <v>26</v>
      </c>
      <c r="AO78" s="936">
        <f>(AF78)*10/100/(B78/24)</f>
        <v>6.7200000000000006</v>
      </c>
      <c r="AP78" s="937">
        <f>AF78/Z74</f>
        <v>0.34890965732087226</v>
      </c>
      <c r="AQ78" s="936">
        <f>(Z74-Z78)*10/100/(B78/24)</f>
        <v>11.47</v>
      </c>
      <c r="AR78" s="938">
        <f>(Z74-Z78)/Z74</f>
        <v>0.59553478712357222</v>
      </c>
      <c r="AS78" s="939">
        <f>((AC78+AF78)-AC74)/Z74</f>
        <v>0.59862928348909661</v>
      </c>
      <c r="AT78" s="929">
        <f>AU78/10</f>
        <v>9.7240000000000007E-2</v>
      </c>
      <c r="AU78" s="930">
        <f>((G74+$T$3)-G78)/(1000*(B78/24))</f>
        <v>0.97240000000000004</v>
      </c>
    </row>
    <row r="79" spans="1:47" ht="29.4" thickTop="1" x14ac:dyDescent="0.3">
      <c r="A79" s="1079">
        <v>18</v>
      </c>
      <c r="B79" s="322">
        <v>0</v>
      </c>
      <c r="C79" s="613">
        <v>7.84</v>
      </c>
      <c r="D79" s="323">
        <v>22.3</v>
      </c>
      <c r="E79" s="323">
        <v>1065</v>
      </c>
      <c r="F79" s="323">
        <f>52.3*20</f>
        <v>1046</v>
      </c>
      <c r="G79" s="610">
        <f>674*5</f>
        <v>3370</v>
      </c>
      <c r="H79" s="181">
        <v>7.43</v>
      </c>
      <c r="I79" s="615">
        <v>19.53</v>
      </c>
      <c r="J79" s="246">
        <v>0</v>
      </c>
      <c r="K79" s="247">
        <v>0</v>
      </c>
      <c r="L79" s="484" t="s">
        <v>26</v>
      </c>
      <c r="M79" s="79">
        <v>0</v>
      </c>
      <c r="N79" s="247">
        <v>0</v>
      </c>
      <c r="O79" s="489"/>
      <c r="P79" s="301"/>
      <c r="Q79" s="495"/>
      <c r="R79" s="612" t="s">
        <v>26</v>
      </c>
      <c r="S79" s="615" t="s">
        <v>26</v>
      </c>
      <c r="T79" s="246" t="s">
        <v>26</v>
      </c>
      <c r="U79" s="241"/>
      <c r="V79" s="1082">
        <v>150</v>
      </c>
      <c r="W79" s="646" t="s">
        <v>194</v>
      </c>
      <c r="X79" s="573"/>
      <c r="Y79" s="405">
        <f>2-0.02</f>
        <v>1.98</v>
      </c>
      <c r="Z79" s="323">
        <f>($Y79*E79)+AN79</f>
        <v>2130</v>
      </c>
      <c r="AA79" s="323">
        <f>($Y79*F79)+(0.02*F79)</f>
        <v>2092</v>
      </c>
      <c r="AB79" s="405">
        <v>0.98</v>
      </c>
      <c r="AC79" s="323">
        <f>(AB79*J79)+(0.02*J79)</f>
        <v>0</v>
      </c>
      <c r="AD79" s="323">
        <f>(AB79*K79)+(0.02*K79)</f>
        <v>0</v>
      </c>
      <c r="AE79" s="330">
        <v>0.32500000000000001</v>
      </c>
      <c r="AF79" s="367">
        <f t="shared" si="16"/>
        <v>0</v>
      </c>
      <c r="AG79" s="367">
        <f t="shared" si="16"/>
        <v>0</v>
      </c>
      <c r="AH79" s="517" t="s">
        <v>26</v>
      </c>
      <c r="AI79" s="933" t="s">
        <v>26</v>
      </c>
      <c r="AJ79" s="940">
        <f t="shared" si="17"/>
        <v>2130</v>
      </c>
      <c r="AK79" s="941">
        <f t="shared" si="17"/>
        <v>2092</v>
      </c>
      <c r="AL79" s="941" t="s">
        <v>26</v>
      </c>
      <c r="AM79" s="941" t="s">
        <v>26</v>
      </c>
      <c r="AN79" s="941">
        <f t="shared" si="11"/>
        <v>21.3</v>
      </c>
      <c r="AO79" s="942"/>
      <c r="AP79" s="942"/>
      <c r="AQ79" s="943"/>
      <c r="AR79" s="944"/>
      <c r="AS79" s="945"/>
      <c r="AT79" s="931"/>
      <c r="AU79" s="932"/>
    </row>
    <row r="80" spans="1:47" ht="15" thickBot="1" x14ac:dyDescent="0.35">
      <c r="A80" s="1087"/>
      <c r="B80" s="624">
        <v>141.5</v>
      </c>
      <c r="C80" s="625">
        <v>7.96</v>
      </c>
      <c r="D80" s="626">
        <v>18.940000000000001</v>
      </c>
      <c r="E80" s="627">
        <v>515</v>
      </c>
      <c r="F80" s="627">
        <v>532</v>
      </c>
      <c r="G80" s="624">
        <f>80.6*5</f>
        <v>403</v>
      </c>
      <c r="H80" s="625">
        <v>10.4</v>
      </c>
      <c r="I80" s="627">
        <v>23.3</v>
      </c>
      <c r="J80" s="628">
        <v>561</v>
      </c>
      <c r="K80" s="629">
        <v>650</v>
      </c>
      <c r="L80" s="630">
        <v>34.9</v>
      </c>
      <c r="M80" s="628">
        <v>1110</v>
      </c>
      <c r="N80" s="629">
        <f>55.6*20</f>
        <v>1112</v>
      </c>
      <c r="O80" s="631"/>
      <c r="P80" s="632"/>
      <c r="Q80" s="633"/>
      <c r="R80" s="634" t="s">
        <v>26</v>
      </c>
      <c r="S80" s="627" t="s">
        <v>26</v>
      </c>
      <c r="T80" s="628">
        <v>-0.1</v>
      </c>
      <c r="U80" s="629">
        <v>20.100000000000001</v>
      </c>
      <c r="V80" s="1088"/>
      <c r="W80" s="921" t="s">
        <v>86</v>
      </c>
      <c r="X80" s="573"/>
      <c r="Y80" s="636">
        <f>Y79</f>
        <v>1.98</v>
      </c>
      <c r="Z80" s="637">
        <f>($Y80*E80)+AN79</f>
        <v>1041</v>
      </c>
      <c r="AA80" s="637">
        <f>($Y80*F80)+(0.02*F79)</f>
        <v>1074.28</v>
      </c>
      <c r="AB80" s="636">
        <v>0.98</v>
      </c>
      <c r="AC80" s="637">
        <f>(AB80*J80)+(0.02*J79)</f>
        <v>549.78</v>
      </c>
      <c r="AD80" s="637">
        <f>($AB80*K80)+(0.02*K79)</f>
        <v>637</v>
      </c>
      <c r="AE80" s="638">
        <v>0.32500000000000001</v>
      </c>
      <c r="AF80" s="639">
        <f t="shared" si="16"/>
        <v>360.75</v>
      </c>
      <c r="AG80" s="639">
        <f t="shared" si="16"/>
        <v>361.40000000000003</v>
      </c>
      <c r="AH80" s="640" t="s">
        <v>26</v>
      </c>
      <c r="AI80" s="934" t="s">
        <v>26</v>
      </c>
      <c r="AJ80" s="946">
        <f t="shared" si="17"/>
        <v>1951.53</v>
      </c>
      <c r="AK80" s="641">
        <f t="shared" si="17"/>
        <v>2072.6799999999998</v>
      </c>
      <c r="AL80" s="641">
        <f>AJ80-AJ79</f>
        <v>-178.47000000000003</v>
      </c>
      <c r="AM80" s="922">
        <f>AK80-AK79</f>
        <v>-19.320000000000164</v>
      </c>
      <c r="AN80" s="641" t="s">
        <v>26</v>
      </c>
      <c r="AO80" s="641">
        <f>(AF80)*10/100/(B80/24)</f>
        <v>6.1187279151943468</v>
      </c>
      <c r="AP80" s="642">
        <f>AF80/Z79</f>
        <v>0.16936619718309859</v>
      </c>
      <c r="AQ80" s="641">
        <f>(Z79-Z80)*10/100/(B80/24)</f>
        <v>18.470671378091875</v>
      </c>
      <c r="AR80" s="926">
        <f>(Z79-Z80)/Z79</f>
        <v>0.5112676056338028</v>
      </c>
      <c r="AS80" s="947">
        <f>((AC80+AF80)-AC79)/Z79</f>
        <v>0.42747887323943662</v>
      </c>
      <c r="AT80" s="948">
        <f>AU80/10</f>
        <v>0.10968763250883393</v>
      </c>
      <c r="AU80" s="949">
        <f>((G79+$T$3)-G80)/(1000*(B80/24))</f>
        <v>1.0968763250883393</v>
      </c>
    </row>
    <row r="81" spans="1:47" ht="15" thickTop="1" x14ac:dyDescent="0.3">
      <c r="A81" s="1076">
        <v>19</v>
      </c>
      <c r="B81" s="623">
        <v>0</v>
      </c>
      <c r="C81" s="568">
        <v>7.69</v>
      </c>
      <c r="D81" s="569">
        <v>21.78</v>
      </c>
      <c r="E81" s="569">
        <v>1090</v>
      </c>
      <c r="F81" s="569">
        <v>1248</v>
      </c>
      <c r="G81" s="623">
        <f>367*5</f>
        <v>1835</v>
      </c>
      <c r="H81" s="568" t="s">
        <v>26</v>
      </c>
      <c r="I81" s="569" t="s">
        <v>26</v>
      </c>
      <c r="J81" s="569">
        <v>0</v>
      </c>
      <c r="K81" s="649">
        <v>0</v>
      </c>
      <c r="L81" s="650" t="s">
        <v>26</v>
      </c>
      <c r="M81" s="569" t="s">
        <v>26</v>
      </c>
      <c r="N81" s="623" t="s">
        <v>26</v>
      </c>
      <c r="O81" s="651"/>
      <c r="P81" s="652"/>
      <c r="Q81" s="653"/>
      <c r="R81" s="650" t="s">
        <v>26</v>
      </c>
      <c r="S81" s="569" t="s">
        <v>26</v>
      </c>
      <c r="T81" s="569" t="s">
        <v>26</v>
      </c>
      <c r="U81" s="623" t="s">
        <v>26</v>
      </c>
      <c r="V81" s="1074">
        <v>150</v>
      </c>
      <c r="W81" s="564" t="s">
        <v>112</v>
      </c>
      <c r="X81" s="654"/>
      <c r="Y81" s="635">
        <v>0.98</v>
      </c>
      <c r="Z81" s="38">
        <f>($Y81*E81)+AN81</f>
        <v>1090</v>
      </c>
      <c r="AA81" s="38">
        <f>($Y81*F81)+(0.02*F81)</f>
        <v>1248</v>
      </c>
      <c r="AB81" s="418">
        <f>0.48</f>
        <v>0.48</v>
      </c>
      <c r="AC81" s="38">
        <f>0+(0.02*J81)</f>
        <v>0</v>
      </c>
      <c r="AD81" s="38">
        <f>0+(0.02*K81)</f>
        <v>0</v>
      </c>
      <c r="AE81" s="514">
        <v>0.3</v>
      </c>
      <c r="AF81" s="79">
        <v>0</v>
      </c>
      <c r="AG81" s="79">
        <f>(0.1*14*1000)*AE81</f>
        <v>420.00000000000006</v>
      </c>
      <c r="AH81" s="519"/>
      <c r="AI81" s="520"/>
      <c r="AJ81" s="393">
        <f>Z81+AC81+AF81+AH81</f>
        <v>1090</v>
      </c>
      <c r="AK81" s="394">
        <f>AA81+AD81+AG81+AI81</f>
        <v>1668</v>
      </c>
      <c r="AL81" s="394" t="s">
        <v>26</v>
      </c>
      <c r="AM81" s="394" t="s">
        <v>26</v>
      </c>
      <c r="AN81" s="394">
        <f t="shared" si="11"/>
        <v>21.8</v>
      </c>
      <c r="AO81" s="532"/>
      <c r="AP81" s="532"/>
      <c r="AQ81" s="497"/>
      <c r="AR81" s="927"/>
      <c r="AS81" s="818"/>
      <c r="AT81" s="41"/>
      <c r="AU81" s="44"/>
    </row>
    <row r="82" spans="1:47" x14ac:dyDescent="0.3">
      <c r="A82" s="1077"/>
      <c r="B82" s="95">
        <v>64</v>
      </c>
      <c r="C82" s="609">
        <v>8.2899999999999991</v>
      </c>
      <c r="D82" s="570">
        <v>19.18</v>
      </c>
      <c r="E82" s="94">
        <v>475</v>
      </c>
      <c r="F82" s="94" t="s">
        <v>26</v>
      </c>
      <c r="G82" s="95">
        <f>60.4*5</f>
        <v>302</v>
      </c>
      <c r="H82" s="609" t="s">
        <v>26</v>
      </c>
      <c r="I82" s="94" t="s">
        <v>26</v>
      </c>
      <c r="J82" s="94" t="s">
        <v>26</v>
      </c>
      <c r="K82" s="96" t="s">
        <v>26</v>
      </c>
      <c r="L82" s="27" t="s">
        <v>26</v>
      </c>
      <c r="M82" s="94" t="s">
        <v>26</v>
      </c>
      <c r="N82" s="95" t="s">
        <v>26</v>
      </c>
      <c r="O82" s="655"/>
      <c r="P82" s="656"/>
      <c r="Q82" s="657"/>
      <c r="R82" s="27" t="s">
        <v>26</v>
      </c>
      <c r="S82" s="94" t="s">
        <v>26</v>
      </c>
      <c r="T82" s="94" t="s">
        <v>26</v>
      </c>
      <c r="U82" s="95" t="s">
        <v>26</v>
      </c>
      <c r="V82" s="1074"/>
      <c r="W82" s="563" t="s">
        <v>195</v>
      </c>
      <c r="X82" s="654"/>
      <c r="Y82" s="572">
        <f>Y81-0.02</f>
        <v>0.96</v>
      </c>
      <c r="Z82" s="138">
        <f>($Y82*E82)+SUM(AN81:AN82)</f>
        <v>487.3</v>
      </c>
      <c r="AA82" s="138" t="s">
        <v>26</v>
      </c>
      <c r="AB82" s="419" t="s">
        <v>26</v>
      </c>
      <c r="AC82" s="138" t="s">
        <v>26</v>
      </c>
      <c r="AD82" s="138" t="s">
        <v>26</v>
      </c>
      <c r="AE82" s="333">
        <v>0.3</v>
      </c>
      <c r="AF82" s="325" t="s">
        <v>26</v>
      </c>
      <c r="AG82" s="325" t="s">
        <v>26</v>
      </c>
      <c r="AH82" s="521"/>
      <c r="AI82" s="522"/>
      <c r="AJ82" s="376" t="s">
        <v>26</v>
      </c>
      <c r="AK82" s="334" t="s">
        <v>26</v>
      </c>
      <c r="AL82" s="334" t="s">
        <v>26</v>
      </c>
      <c r="AM82" s="334" t="s">
        <v>26</v>
      </c>
      <c r="AN82" s="334">
        <f t="shared" si="11"/>
        <v>9.5</v>
      </c>
      <c r="AO82" s="302"/>
      <c r="AP82" s="302"/>
      <c r="AQ82" s="535"/>
      <c r="AR82" s="928"/>
      <c r="AS82" s="819"/>
      <c r="AT82" s="30"/>
      <c r="AU82" s="31"/>
    </row>
    <row r="83" spans="1:47" x14ac:dyDescent="0.3">
      <c r="A83" s="1077"/>
      <c r="B83" s="95">
        <v>89</v>
      </c>
      <c r="C83" s="609">
        <v>7.86</v>
      </c>
      <c r="D83" s="94">
        <v>20.079999999999998</v>
      </c>
      <c r="E83" s="94">
        <v>406</v>
      </c>
      <c r="F83" s="94" t="s">
        <v>26</v>
      </c>
      <c r="G83" s="95">
        <f>341*5</f>
        <v>1705</v>
      </c>
      <c r="H83" s="609" t="s">
        <v>26</v>
      </c>
      <c r="I83" s="94" t="s">
        <v>26</v>
      </c>
      <c r="J83" s="94" t="s">
        <v>26</v>
      </c>
      <c r="K83" s="96" t="s">
        <v>26</v>
      </c>
      <c r="L83" s="27" t="s">
        <v>26</v>
      </c>
      <c r="M83" s="94" t="s">
        <v>26</v>
      </c>
      <c r="N83" s="95" t="s">
        <v>26</v>
      </c>
      <c r="O83" s="655"/>
      <c r="P83" s="656"/>
      <c r="Q83" s="657"/>
      <c r="R83" s="27" t="s">
        <v>26</v>
      </c>
      <c r="S83" s="94" t="s">
        <v>26</v>
      </c>
      <c r="T83" s="94" t="s">
        <v>26</v>
      </c>
      <c r="U83" s="95" t="s">
        <v>26</v>
      </c>
      <c r="V83" s="1074"/>
      <c r="W83" s="564" t="s">
        <v>112</v>
      </c>
      <c r="X83" s="654"/>
      <c r="Y83" s="418">
        <f>Y82-0.02</f>
        <v>0.94</v>
      </c>
      <c r="Z83" s="38">
        <f>($Y83*E83)+SUM(AN81:AN83)</f>
        <v>421.06</v>
      </c>
      <c r="AA83" s="38" t="s">
        <v>26</v>
      </c>
      <c r="AB83" s="418" t="s">
        <v>26</v>
      </c>
      <c r="AC83" s="38" t="s">
        <v>26</v>
      </c>
      <c r="AD83" s="38" t="s">
        <v>26</v>
      </c>
      <c r="AE83" s="514">
        <v>0.3</v>
      </c>
      <c r="AF83" s="79" t="s">
        <v>26</v>
      </c>
      <c r="AG83" s="79" t="s">
        <v>26</v>
      </c>
      <c r="AH83" s="519"/>
      <c r="AI83" s="520"/>
      <c r="AJ83" s="393" t="s">
        <v>26</v>
      </c>
      <c r="AK83" s="394" t="s">
        <v>26</v>
      </c>
      <c r="AL83" s="394" t="s">
        <v>26</v>
      </c>
      <c r="AM83" s="394" t="s">
        <v>26</v>
      </c>
      <c r="AN83" s="394">
        <f t="shared" si="11"/>
        <v>8.120000000000001</v>
      </c>
      <c r="AO83" s="532"/>
      <c r="AP83" s="532"/>
      <c r="AQ83" s="497"/>
      <c r="AR83" s="927"/>
      <c r="AS83" s="821"/>
      <c r="AT83" s="30"/>
      <c r="AU83" s="31"/>
    </row>
    <row r="84" spans="1:47" s="311" customFormat="1" ht="15" thickBot="1" x14ac:dyDescent="0.35">
      <c r="A84" s="1078"/>
      <c r="B84" s="305">
        <v>134</v>
      </c>
      <c r="C84" s="306">
        <v>8.1999999999999993</v>
      </c>
      <c r="D84" s="307">
        <v>26.1</v>
      </c>
      <c r="E84" s="307">
        <v>268</v>
      </c>
      <c r="F84" s="307">
        <v>320.5</v>
      </c>
      <c r="G84" s="305"/>
      <c r="H84" s="306">
        <v>9.9499999999999993</v>
      </c>
      <c r="I84" s="307">
        <v>26.5</v>
      </c>
      <c r="J84" s="307">
        <v>612</v>
      </c>
      <c r="K84" s="308">
        <v>505</v>
      </c>
      <c r="L84" s="312">
        <v>10.34</v>
      </c>
      <c r="M84" s="658">
        <v>1450</v>
      </c>
      <c r="N84" s="659">
        <f>138*20</f>
        <v>2760</v>
      </c>
      <c r="O84" s="452"/>
      <c r="P84" s="660"/>
      <c r="Q84" s="661"/>
      <c r="R84" s="312" t="s">
        <v>26</v>
      </c>
      <c r="S84" s="307" t="s">
        <v>26</v>
      </c>
      <c r="T84" s="307">
        <v>0.2</v>
      </c>
      <c r="U84" s="305">
        <v>16.7</v>
      </c>
      <c r="V84" s="1085"/>
      <c r="W84" s="952" t="s">
        <v>86</v>
      </c>
      <c r="X84" s="766"/>
      <c r="Y84" s="417">
        <f>Y83</f>
        <v>0.94</v>
      </c>
      <c r="Z84" s="307">
        <f>($Y84*E84)+SUM(AN81:AN83)</f>
        <v>291.33999999999997</v>
      </c>
      <c r="AA84" s="307">
        <f>($Y84*F84)+(0.02*F81)</f>
        <v>326.22999999999996</v>
      </c>
      <c r="AB84" s="417">
        <v>0.48</v>
      </c>
      <c r="AC84" s="307">
        <f>(AB84*J84)+(0.02*J81)</f>
        <v>293.76</v>
      </c>
      <c r="AD84" s="307">
        <f>($AB84*K84)+(0.02*K81)</f>
        <v>242.39999999999998</v>
      </c>
      <c r="AE84" s="510">
        <v>0.3</v>
      </c>
      <c r="AF84" s="483">
        <f t="shared" ref="AF84" si="18">$AE84*M84</f>
        <v>435</v>
      </c>
      <c r="AG84" s="483">
        <f t="shared" ref="AG84" si="19">$AE84*N84</f>
        <v>828</v>
      </c>
      <c r="AH84" s="592"/>
      <c r="AI84" s="589"/>
      <c r="AJ84" s="387">
        <f t="shared" ref="AJ84" si="20">Z84+AC84+AF84</f>
        <v>1020.0999999999999</v>
      </c>
      <c r="AK84" s="388">
        <f>AA84+AD84+AG84</f>
        <v>1396.6299999999999</v>
      </c>
      <c r="AL84" s="388">
        <f>AJ84-AJ81</f>
        <v>-69.900000000000091</v>
      </c>
      <c r="AM84" s="388">
        <f>AK84-AK81</f>
        <v>-271.37000000000012</v>
      </c>
      <c r="AN84" s="388" t="s">
        <v>26</v>
      </c>
      <c r="AO84" s="924">
        <f>(AF84)*10/100/(B84/24)</f>
        <v>7.7910447761194037</v>
      </c>
      <c r="AP84" s="923">
        <f>AF84/Z81</f>
        <v>0.39908256880733944</v>
      </c>
      <c r="AQ84" s="388">
        <f>(Z81-Z84)*10/100/(B84/24)</f>
        <v>14.304358208955225</v>
      </c>
      <c r="AR84" s="1053">
        <f>(Z81-Z84)</f>
        <v>798.66000000000008</v>
      </c>
      <c r="AS84" s="820">
        <f>((AC84+AF84)-AC81)/Z81</f>
        <v>0.66858715596330276</v>
      </c>
      <c r="AT84" s="472">
        <f>AU84/10</f>
        <v>4.5402985074626867E-2</v>
      </c>
      <c r="AU84" s="900">
        <f>((G81+$T$1/3)-G84)/(1000*(B84/24))</f>
        <v>0.45402985074626867</v>
      </c>
    </row>
    <row r="85" spans="1:47" ht="15" thickTop="1" x14ac:dyDescent="0.3">
      <c r="A85" s="1086">
        <v>20</v>
      </c>
      <c r="B85" s="567">
        <v>0</v>
      </c>
      <c r="C85" s="568">
        <v>8.02</v>
      </c>
      <c r="D85" s="569">
        <v>20.25</v>
      </c>
      <c r="E85" s="569">
        <f>41.8*25</f>
        <v>1045</v>
      </c>
      <c r="F85" s="569">
        <f>42.1*25</f>
        <v>1052.5</v>
      </c>
      <c r="G85" s="567">
        <f>479*5</f>
        <v>2395</v>
      </c>
      <c r="H85" s="568" t="s">
        <v>26</v>
      </c>
      <c r="I85" s="569" t="s">
        <v>26</v>
      </c>
      <c r="J85" s="569" t="s">
        <v>26</v>
      </c>
      <c r="K85" s="649" t="s">
        <v>26</v>
      </c>
      <c r="L85" s="663" t="s">
        <v>26</v>
      </c>
      <c r="M85" s="664" t="s">
        <v>26</v>
      </c>
      <c r="N85" s="567" t="s">
        <v>26</v>
      </c>
      <c r="O85" s="663" t="s">
        <v>26</v>
      </c>
      <c r="P85" s="664" t="s">
        <v>26</v>
      </c>
      <c r="Q85" s="567" t="s">
        <v>26</v>
      </c>
      <c r="R85" s="663" t="s">
        <v>26</v>
      </c>
      <c r="S85" s="664" t="s">
        <v>26</v>
      </c>
      <c r="T85" s="664" t="s">
        <v>26</v>
      </c>
      <c r="U85" s="567" t="s">
        <v>26</v>
      </c>
      <c r="V85" s="1073">
        <v>150</v>
      </c>
      <c r="W85" s="563" t="s">
        <v>195</v>
      </c>
      <c r="X85" s="654"/>
      <c r="Y85" s="571">
        <v>0.98</v>
      </c>
      <c r="Z85" s="323">
        <f>($Y85*E85)+AN85</f>
        <v>1045</v>
      </c>
      <c r="AA85" s="323">
        <f>($Y85*F85)+(0.02*F85)</f>
        <v>1052.5</v>
      </c>
      <c r="AB85" s="405">
        <f>0.48</f>
        <v>0.48</v>
      </c>
      <c r="AC85" s="323">
        <v>0</v>
      </c>
      <c r="AD85" s="323">
        <v>0</v>
      </c>
      <c r="AE85" s="330">
        <v>0.5</v>
      </c>
      <c r="AF85" s="367">
        <v>0</v>
      </c>
      <c r="AG85" s="367">
        <f>(0.1*14*1000)*AE85</f>
        <v>700.00000000000011</v>
      </c>
      <c r="AH85" s="367">
        <v>0</v>
      </c>
      <c r="AI85" s="367">
        <f>(0.1*14*1000)*AE85</f>
        <v>700.00000000000011</v>
      </c>
      <c r="AJ85" s="374">
        <f>Z85+AC85+AF85+AH85</f>
        <v>1045</v>
      </c>
      <c r="AK85" s="331">
        <f>AA85+AD85+AG85+AI85</f>
        <v>2452.5</v>
      </c>
      <c r="AL85" s="331" t="s">
        <v>26</v>
      </c>
      <c r="AM85" s="331" t="s">
        <v>26</v>
      </c>
      <c r="AN85" s="331">
        <f t="shared" si="11"/>
        <v>20.900000000000002</v>
      </c>
      <c r="AO85" s="301"/>
      <c r="AP85" s="301"/>
      <c r="AQ85" s="536"/>
      <c r="AR85" s="925"/>
      <c r="AS85" s="824"/>
      <c r="AT85" s="41"/>
      <c r="AU85" s="44"/>
    </row>
    <row r="86" spans="1:47" x14ac:dyDescent="0.3">
      <c r="A86" s="1077"/>
      <c r="B86" s="95">
        <v>68</v>
      </c>
      <c r="C86" s="609">
        <v>8.39</v>
      </c>
      <c r="D86" s="570">
        <v>16.5</v>
      </c>
      <c r="E86" s="94">
        <v>835</v>
      </c>
      <c r="F86" s="94" t="s">
        <v>26</v>
      </c>
      <c r="G86" s="95">
        <f>43.9*5</f>
        <v>219.5</v>
      </c>
      <c r="H86" s="609" t="s">
        <v>26</v>
      </c>
      <c r="I86" s="94" t="s">
        <v>26</v>
      </c>
      <c r="J86" s="94" t="s">
        <v>26</v>
      </c>
      <c r="K86" s="96" t="s">
        <v>26</v>
      </c>
      <c r="L86" s="27" t="s">
        <v>26</v>
      </c>
      <c r="M86" s="94" t="s">
        <v>26</v>
      </c>
      <c r="N86" s="95" t="s">
        <v>26</v>
      </c>
      <c r="O86" s="27" t="s">
        <v>26</v>
      </c>
      <c r="P86" s="94" t="s">
        <v>26</v>
      </c>
      <c r="Q86" s="95" t="s">
        <v>26</v>
      </c>
      <c r="R86" s="27" t="s">
        <v>26</v>
      </c>
      <c r="S86" s="94" t="s">
        <v>26</v>
      </c>
      <c r="T86" s="94" t="s">
        <v>26</v>
      </c>
      <c r="U86" s="95" t="s">
        <v>26</v>
      </c>
      <c r="V86" s="1074"/>
      <c r="W86" s="563" t="s">
        <v>196</v>
      </c>
      <c r="X86" s="654"/>
      <c r="Y86" s="572">
        <f>Y85-0.02</f>
        <v>0.96</v>
      </c>
      <c r="Z86" s="138">
        <f>($Y86*E86)+SUM($AN$85:AN86)</f>
        <v>839.2</v>
      </c>
      <c r="AA86" s="138" t="s">
        <v>26</v>
      </c>
      <c r="AB86" s="419" t="s">
        <v>26</v>
      </c>
      <c r="AC86" s="138" t="s">
        <v>26</v>
      </c>
      <c r="AD86" s="138" t="s">
        <v>26</v>
      </c>
      <c r="AE86" s="333">
        <v>0.5</v>
      </c>
      <c r="AF86" s="325" t="s">
        <v>26</v>
      </c>
      <c r="AG86" s="325" t="s">
        <v>26</v>
      </c>
      <c r="AH86" s="325" t="s">
        <v>26</v>
      </c>
      <c r="AI86" s="325" t="s">
        <v>26</v>
      </c>
      <c r="AJ86" s="376" t="s">
        <v>26</v>
      </c>
      <c r="AK86" s="334" t="s">
        <v>26</v>
      </c>
      <c r="AL86" s="334" t="s">
        <v>26</v>
      </c>
      <c r="AM86" s="334" t="s">
        <v>26</v>
      </c>
      <c r="AN86" s="334">
        <f t="shared" si="11"/>
        <v>16.7</v>
      </c>
      <c r="AO86" s="302"/>
      <c r="AP86" s="302"/>
      <c r="AQ86" s="535"/>
      <c r="AR86" s="928"/>
      <c r="AS86" s="819"/>
      <c r="AT86" s="30"/>
      <c r="AU86" s="31"/>
    </row>
    <row r="87" spans="1:47" x14ac:dyDescent="0.3">
      <c r="A87" s="1077"/>
      <c r="B87" s="95">
        <v>95</v>
      </c>
      <c r="C87" s="609">
        <v>8.02</v>
      </c>
      <c r="D87" s="94">
        <v>19.12</v>
      </c>
      <c r="E87" s="94">
        <v>551</v>
      </c>
      <c r="F87" s="94" t="s">
        <v>26</v>
      </c>
      <c r="G87" s="95">
        <f>302*5</f>
        <v>1510</v>
      </c>
      <c r="H87" s="609" t="s">
        <v>26</v>
      </c>
      <c r="I87" s="94" t="s">
        <v>26</v>
      </c>
      <c r="J87" s="94" t="s">
        <v>26</v>
      </c>
      <c r="K87" s="96" t="s">
        <v>26</v>
      </c>
      <c r="L87" s="27" t="s">
        <v>26</v>
      </c>
      <c r="M87" s="94" t="s">
        <v>26</v>
      </c>
      <c r="N87" s="95" t="s">
        <v>26</v>
      </c>
      <c r="O87" s="27" t="s">
        <v>26</v>
      </c>
      <c r="P87" s="94" t="s">
        <v>26</v>
      </c>
      <c r="Q87" s="95" t="s">
        <v>26</v>
      </c>
      <c r="R87" s="27" t="s">
        <v>26</v>
      </c>
      <c r="S87" s="94" t="s">
        <v>26</v>
      </c>
      <c r="T87" s="94" t="s">
        <v>26</v>
      </c>
      <c r="U87" s="95" t="s">
        <v>26</v>
      </c>
      <c r="V87" s="1074"/>
      <c r="W87" s="563" t="s">
        <v>197</v>
      </c>
      <c r="X87" s="654"/>
      <c r="Y87" s="418">
        <f>Y86-0.02</f>
        <v>0.94</v>
      </c>
      <c r="Z87" s="138">
        <f>($Y87*E87)+SUM($AN$85:AN87)</f>
        <v>566.55999999999995</v>
      </c>
      <c r="AA87" s="38" t="s">
        <v>26</v>
      </c>
      <c r="AB87" s="418" t="s">
        <v>26</v>
      </c>
      <c r="AC87" s="38" t="s">
        <v>26</v>
      </c>
      <c r="AD87" s="38" t="s">
        <v>26</v>
      </c>
      <c r="AE87" s="514">
        <v>0.5</v>
      </c>
      <c r="AF87" s="79" t="s">
        <v>26</v>
      </c>
      <c r="AG87" s="79" t="s">
        <v>26</v>
      </c>
      <c r="AH87" s="79" t="s">
        <v>26</v>
      </c>
      <c r="AI87" s="79" t="s">
        <v>26</v>
      </c>
      <c r="AJ87" s="393" t="s">
        <v>26</v>
      </c>
      <c r="AK87" s="394" t="s">
        <v>26</v>
      </c>
      <c r="AL87" s="394" t="s">
        <v>26</v>
      </c>
      <c r="AM87" s="394" t="s">
        <v>26</v>
      </c>
      <c r="AN87" s="394">
        <f t="shared" si="11"/>
        <v>11.02</v>
      </c>
      <c r="AO87" s="532"/>
      <c r="AP87" s="532"/>
      <c r="AQ87" s="497"/>
      <c r="AR87" s="927"/>
      <c r="AS87" s="821"/>
      <c r="AT87" s="30"/>
      <c r="AU87" s="31"/>
    </row>
    <row r="88" spans="1:47" s="311" customFormat="1" ht="15" thickBot="1" x14ac:dyDescent="0.35">
      <c r="A88" s="1078"/>
      <c r="B88" s="305">
        <v>119.5</v>
      </c>
      <c r="C88" s="307">
        <v>7.84</v>
      </c>
      <c r="D88" s="307">
        <v>17.97</v>
      </c>
      <c r="E88" s="307">
        <v>366</v>
      </c>
      <c r="F88" s="307">
        <f>23.1*20</f>
        <v>462</v>
      </c>
      <c r="G88" s="305">
        <f>339*5</f>
        <v>1695</v>
      </c>
      <c r="H88" s="306">
        <v>11.84</v>
      </c>
      <c r="I88" s="307">
        <v>27.4</v>
      </c>
      <c r="J88" s="307">
        <v>1230</v>
      </c>
      <c r="K88" s="308">
        <f>71.1*20</f>
        <v>1422</v>
      </c>
      <c r="L88" s="312">
        <v>21.51</v>
      </c>
      <c r="M88" s="307">
        <f>33.1*25</f>
        <v>827.5</v>
      </c>
      <c r="N88" s="305">
        <f>89.7*25</f>
        <v>2242.5</v>
      </c>
      <c r="O88" s="312">
        <v>38.799999999999997</v>
      </c>
      <c r="P88" s="307">
        <v>0</v>
      </c>
      <c r="Q88" s="305">
        <f>57.6*25</f>
        <v>1440</v>
      </c>
      <c r="R88" s="312" t="s">
        <v>26</v>
      </c>
      <c r="S88" s="307" t="s">
        <v>26</v>
      </c>
      <c r="T88" s="307">
        <v>0.2</v>
      </c>
      <c r="U88" s="305">
        <v>25.15</v>
      </c>
      <c r="V88" s="1085"/>
      <c r="W88" s="662" t="s">
        <v>164</v>
      </c>
      <c r="X88" s="766"/>
      <c r="Y88" s="417">
        <f>Y87</f>
        <v>0.94</v>
      </c>
      <c r="Z88" s="839">
        <f>($Y88*E88)+SUM($AN$85:AN87)</f>
        <v>392.65999999999997</v>
      </c>
      <c r="AA88" s="307">
        <f>($Y88*F88)+(0.02*F85)</f>
        <v>455.33</v>
      </c>
      <c r="AB88" s="417">
        <v>0.48</v>
      </c>
      <c r="AC88" s="307">
        <f>AB88*J88</f>
        <v>590.4</v>
      </c>
      <c r="AD88" s="307">
        <f>$AB88*K88</f>
        <v>682.56</v>
      </c>
      <c r="AE88" s="510">
        <v>0.5</v>
      </c>
      <c r="AF88" s="483">
        <f t="shared" ref="AF88" si="21">$AE88*M88</f>
        <v>413.75</v>
      </c>
      <c r="AG88" s="483">
        <f t="shared" ref="AG88" si="22">$AE88*N88</f>
        <v>1121.25</v>
      </c>
      <c r="AH88" s="483">
        <f>$AE88*P88</f>
        <v>0</v>
      </c>
      <c r="AI88" s="483">
        <f>AE88*Q88</f>
        <v>720</v>
      </c>
      <c r="AJ88" s="387">
        <f>Z88+AC88+AF88+AH88</f>
        <v>1396.81</v>
      </c>
      <c r="AK88" s="388">
        <f>AA88+AD88+AG88+AI88</f>
        <v>2979.14</v>
      </c>
      <c r="AL88" s="388">
        <f>AJ88-AJ85</f>
        <v>351.80999999999995</v>
      </c>
      <c r="AM88" s="388">
        <f>AK88-AK85</f>
        <v>526.63999999999987</v>
      </c>
      <c r="AN88" s="388" t="s">
        <v>26</v>
      </c>
      <c r="AO88" s="388">
        <f>(AF88)*10/100/(B88/24)</f>
        <v>8.3096234309623433</v>
      </c>
      <c r="AP88" s="591">
        <f>(AF88+AH88)/Z85</f>
        <v>0.39593301435406697</v>
      </c>
      <c r="AQ88" s="388">
        <f>(Z85-Z88)*10/100/(B88/24)</f>
        <v>13.101389121338913</v>
      </c>
      <c r="AR88" s="1053">
        <f>(Z85-Z88)</f>
        <v>652.34</v>
      </c>
      <c r="AS88" s="820">
        <f>((AC88+AF88)-AC85)/Z85</f>
        <v>0.96090909090909093</v>
      </c>
      <c r="AT88" s="472">
        <f>AU88/10</f>
        <v>0.10543933054393304</v>
      </c>
      <c r="AU88" s="900">
        <f>((G85+(1750/2.5*(6.5)))-G88)/(1000*(B88/24))</f>
        <v>1.0543933054393304</v>
      </c>
    </row>
    <row r="89" spans="1:47" ht="15" thickTop="1" x14ac:dyDescent="0.3">
      <c r="A89" s="1086">
        <v>21</v>
      </c>
      <c r="B89" s="567">
        <v>0</v>
      </c>
      <c r="C89" s="568">
        <v>7.51</v>
      </c>
      <c r="D89" s="569">
        <v>19.309999999999999</v>
      </c>
      <c r="E89" s="569">
        <f>41.9*25</f>
        <v>1047.5</v>
      </c>
      <c r="F89" s="569">
        <f>41*25</f>
        <v>1025</v>
      </c>
      <c r="G89" s="567">
        <f>378*5</f>
        <v>1890</v>
      </c>
      <c r="H89" s="568">
        <v>11.82</v>
      </c>
      <c r="I89" s="569">
        <v>35.700000000000003</v>
      </c>
      <c r="J89" s="569">
        <v>0</v>
      </c>
      <c r="K89" s="649">
        <v>1.01</v>
      </c>
      <c r="L89" s="663" t="s">
        <v>26</v>
      </c>
      <c r="M89" s="664" t="s">
        <v>26</v>
      </c>
      <c r="N89" s="567" t="s">
        <v>26</v>
      </c>
      <c r="O89" s="663" t="s">
        <v>26</v>
      </c>
      <c r="P89" s="664" t="s">
        <v>26</v>
      </c>
      <c r="Q89" s="567" t="s">
        <v>26</v>
      </c>
      <c r="R89" s="663" t="s">
        <v>26</v>
      </c>
      <c r="S89" s="664" t="s">
        <v>26</v>
      </c>
      <c r="T89" s="664" t="s">
        <v>26</v>
      </c>
      <c r="U89" s="567" t="s">
        <v>26</v>
      </c>
      <c r="V89" s="1073">
        <v>150</v>
      </c>
      <c r="W89" s="563" t="s">
        <v>126</v>
      </c>
      <c r="X89" s="654"/>
      <c r="Y89" s="571">
        <v>0.98</v>
      </c>
      <c r="Z89" s="323">
        <f>($Y89*E89)+AN89</f>
        <v>1047.5</v>
      </c>
      <c r="AA89" s="323">
        <f>($Y89*F89)+(0.02*F89)</f>
        <v>1025</v>
      </c>
      <c r="AB89" s="405">
        <f>0.48</f>
        <v>0.48</v>
      </c>
      <c r="AC89" s="323">
        <f>AB89*J89</f>
        <v>0</v>
      </c>
      <c r="AD89" s="594">
        <f>(AB89*K89)+(0.02*K89)</f>
        <v>0.505</v>
      </c>
      <c r="AE89" s="330">
        <v>0.5</v>
      </c>
      <c r="AF89" s="367">
        <v>0</v>
      </c>
      <c r="AG89" s="367">
        <f>(0.1*14*1000)*AE89</f>
        <v>700.00000000000011</v>
      </c>
      <c r="AH89" s="367">
        <v>0</v>
      </c>
      <c r="AI89" s="367">
        <f>(0.1*14*1000)*AE89</f>
        <v>700.00000000000011</v>
      </c>
      <c r="AJ89" s="374">
        <f>Z89+AC89+AF89+AH89</f>
        <v>1047.5</v>
      </c>
      <c r="AK89" s="331">
        <f>AA89+AD89+AG89+AI89</f>
        <v>2425.5050000000001</v>
      </c>
      <c r="AL89" s="331" t="s">
        <v>26</v>
      </c>
      <c r="AM89" s="331" t="s">
        <v>26</v>
      </c>
      <c r="AN89" s="331">
        <f t="shared" si="11"/>
        <v>20.95</v>
      </c>
      <c r="AO89" s="301"/>
      <c r="AP89" s="301"/>
      <c r="AQ89" s="536"/>
      <c r="AR89" s="925"/>
      <c r="AS89" s="824"/>
      <c r="AT89" s="41"/>
      <c r="AU89" s="44"/>
    </row>
    <row r="90" spans="1:47" x14ac:dyDescent="0.3">
      <c r="A90" s="1077"/>
      <c r="B90" s="95">
        <v>20</v>
      </c>
      <c r="C90" s="609">
        <v>7.88</v>
      </c>
      <c r="D90" s="570">
        <v>18.940000000000001</v>
      </c>
      <c r="E90" s="94">
        <f>26.8*25</f>
        <v>670</v>
      </c>
      <c r="F90" s="94" t="s">
        <v>26</v>
      </c>
      <c r="G90" s="95">
        <f>308*5</f>
        <v>1540</v>
      </c>
      <c r="H90" s="609" t="s">
        <v>26</v>
      </c>
      <c r="I90" s="94" t="s">
        <v>26</v>
      </c>
      <c r="J90" s="94" t="s">
        <v>26</v>
      </c>
      <c r="K90" s="96" t="s">
        <v>26</v>
      </c>
      <c r="L90" s="27" t="s">
        <v>26</v>
      </c>
      <c r="M90" s="94" t="s">
        <v>26</v>
      </c>
      <c r="N90" s="95" t="s">
        <v>26</v>
      </c>
      <c r="O90" s="27" t="s">
        <v>26</v>
      </c>
      <c r="P90" s="94" t="s">
        <v>26</v>
      </c>
      <c r="Q90" s="95" t="s">
        <v>26</v>
      </c>
      <c r="R90" s="27" t="s">
        <v>26</v>
      </c>
      <c r="S90" s="94" t="s">
        <v>26</v>
      </c>
      <c r="T90" s="94" t="s">
        <v>26</v>
      </c>
      <c r="U90" s="95" t="s">
        <v>26</v>
      </c>
      <c r="V90" s="1074"/>
      <c r="W90" s="563" t="s">
        <v>126</v>
      </c>
      <c r="X90" s="654"/>
      <c r="Y90" s="572">
        <f>Y89-0.02</f>
        <v>0.96</v>
      </c>
      <c r="Z90" s="138">
        <f>($Y90*E90)+SUM($AN$89:AN90)</f>
        <v>677.55</v>
      </c>
      <c r="AA90" s="138" t="s">
        <v>26</v>
      </c>
      <c r="AB90" s="419" t="s">
        <v>26</v>
      </c>
      <c r="AC90" s="138" t="s">
        <v>26</v>
      </c>
      <c r="AD90" s="138" t="s">
        <v>26</v>
      </c>
      <c r="AE90" s="333">
        <v>0.5</v>
      </c>
      <c r="AF90" s="325" t="s">
        <v>26</v>
      </c>
      <c r="AG90" s="325" t="s">
        <v>26</v>
      </c>
      <c r="AH90" s="325" t="s">
        <v>26</v>
      </c>
      <c r="AI90" s="325" t="s">
        <v>26</v>
      </c>
      <c r="AJ90" s="376" t="s">
        <v>26</v>
      </c>
      <c r="AK90" s="334" t="s">
        <v>26</v>
      </c>
      <c r="AL90" s="334" t="s">
        <v>26</v>
      </c>
      <c r="AM90" s="334" t="s">
        <v>26</v>
      </c>
      <c r="AN90" s="334">
        <f t="shared" si="11"/>
        <v>13.4</v>
      </c>
      <c r="AO90" s="302"/>
      <c r="AP90" s="302"/>
      <c r="AQ90" s="535"/>
      <c r="AR90" s="928"/>
      <c r="AS90" s="819"/>
      <c r="AT90" s="30"/>
      <c r="AU90" s="31"/>
    </row>
    <row r="91" spans="1:47" x14ac:dyDescent="0.3">
      <c r="A91" s="1077"/>
      <c r="B91" s="95">
        <v>51</v>
      </c>
      <c r="C91" s="609">
        <v>8.2200000000000006</v>
      </c>
      <c r="D91" s="94">
        <v>17.22</v>
      </c>
      <c r="E91" s="94">
        <f>18.8*25</f>
        <v>470</v>
      </c>
      <c r="F91" s="94" t="s">
        <v>26</v>
      </c>
      <c r="G91" s="95">
        <f>47.8*5</f>
        <v>239</v>
      </c>
      <c r="H91" s="609" t="s">
        <v>26</v>
      </c>
      <c r="I91" s="94" t="s">
        <v>26</v>
      </c>
      <c r="J91" s="94" t="s">
        <v>26</v>
      </c>
      <c r="K91" s="96" t="s">
        <v>26</v>
      </c>
      <c r="L91" s="27" t="s">
        <v>26</v>
      </c>
      <c r="M91" s="94" t="s">
        <v>26</v>
      </c>
      <c r="N91" s="95" t="s">
        <v>26</v>
      </c>
      <c r="O91" s="27" t="s">
        <v>26</v>
      </c>
      <c r="P91" s="94" t="s">
        <v>26</v>
      </c>
      <c r="Q91" s="95" t="s">
        <v>26</v>
      </c>
      <c r="R91" s="27" t="s">
        <v>26</v>
      </c>
      <c r="S91" s="94" t="s">
        <v>26</v>
      </c>
      <c r="T91" s="94" t="s">
        <v>26</v>
      </c>
      <c r="U91" s="95" t="s">
        <v>26</v>
      </c>
      <c r="V91" s="1074"/>
      <c r="W91" s="563" t="s">
        <v>196</v>
      </c>
      <c r="X91" s="654"/>
      <c r="Y91" s="418">
        <f>Y90-0.02</f>
        <v>0.94</v>
      </c>
      <c r="Z91" s="138">
        <f>($Y91*E91)+SUM($AN$89:AN91)</f>
        <v>485.54999999999995</v>
      </c>
      <c r="AA91" s="38" t="s">
        <v>26</v>
      </c>
      <c r="AB91" s="418" t="s">
        <v>26</v>
      </c>
      <c r="AC91" s="38" t="s">
        <v>26</v>
      </c>
      <c r="AD91" s="38" t="s">
        <v>26</v>
      </c>
      <c r="AE91" s="514">
        <v>0.5</v>
      </c>
      <c r="AF91" s="79" t="s">
        <v>26</v>
      </c>
      <c r="AG91" s="79" t="s">
        <v>26</v>
      </c>
      <c r="AH91" s="79" t="s">
        <v>26</v>
      </c>
      <c r="AI91" s="79" t="s">
        <v>26</v>
      </c>
      <c r="AJ91" s="393" t="s">
        <v>26</v>
      </c>
      <c r="AK91" s="394" t="s">
        <v>26</v>
      </c>
      <c r="AL91" s="394" t="s">
        <v>26</v>
      </c>
      <c r="AM91" s="394" t="s">
        <v>26</v>
      </c>
      <c r="AN91" s="394">
        <f t="shared" si="11"/>
        <v>9.4</v>
      </c>
      <c r="AO91" s="532"/>
      <c r="AP91" s="532"/>
      <c r="AQ91" s="497"/>
      <c r="AR91" s="927"/>
      <c r="AS91" s="821"/>
      <c r="AT91" s="30"/>
      <c r="AU91" s="31"/>
    </row>
    <row r="92" spans="1:47" ht="15" thickBot="1" x14ac:dyDescent="0.35">
      <c r="A92" s="1078"/>
      <c r="B92" s="305">
        <v>120</v>
      </c>
      <c r="C92" s="307">
        <v>8.26</v>
      </c>
      <c r="D92" s="307">
        <v>17.47</v>
      </c>
      <c r="E92" s="307">
        <f>22.5*10</f>
        <v>225</v>
      </c>
      <c r="F92" s="307">
        <f>24.7*10</f>
        <v>247</v>
      </c>
      <c r="G92" s="305">
        <f>55.7*5</f>
        <v>278.5</v>
      </c>
      <c r="H92" s="306">
        <v>11.22</v>
      </c>
      <c r="I92" s="307">
        <v>36.799999999999997</v>
      </c>
      <c r="J92" s="307">
        <f>11*50</f>
        <v>550</v>
      </c>
      <c r="K92" s="308">
        <f>13.7*50</f>
        <v>685</v>
      </c>
      <c r="L92" s="312">
        <v>22.9</v>
      </c>
      <c r="M92" s="307">
        <f>15.1*50</f>
        <v>755</v>
      </c>
      <c r="N92" s="305">
        <f>44.7*50</f>
        <v>2235</v>
      </c>
      <c r="O92" s="312">
        <v>38.1</v>
      </c>
      <c r="P92" s="307">
        <v>0</v>
      </c>
      <c r="Q92" s="305">
        <f>60.7*25</f>
        <v>1517.5</v>
      </c>
      <c r="R92" s="312" t="s">
        <v>26</v>
      </c>
      <c r="S92" s="307" t="s">
        <v>26</v>
      </c>
      <c r="T92" s="307">
        <v>0.2</v>
      </c>
      <c r="U92" s="305">
        <v>20.09</v>
      </c>
      <c r="V92" s="1085"/>
      <c r="W92" s="662" t="s">
        <v>86</v>
      </c>
      <c r="X92" s="766"/>
      <c r="Y92" s="417">
        <f>Y91</f>
        <v>0.94</v>
      </c>
      <c r="Z92" s="839">
        <f>($Y92*E92)+SUM($AN$89:AN91)</f>
        <v>255.25</v>
      </c>
      <c r="AA92" s="307">
        <f>($Y92*F92)+(0.02*F89)</f>
        <v>252.67999999999998</v>
      </c>
      <c r="AB92" s="417">
        <v>0.48</v>
      </c>
      <c r="AC92" s="307">
        <f>AB92*J92</f>
        <v>264</v>
      </c>
      <c r="AD92" s="586">
        <f>($AB92*K92)+(0.02*K89)</f>
        <v>328.8202</v>
      </c>
      <c r="AE92" s="510">
        <v>0.5</v>
      </c>
      <c r="AF92" s="483">
        <f t="shared" ref="AF92" si="23">$AE92*M92</f>
        <v>377.5</v>
      </c>
      <c r="AG92" s="483">
        <f t="shared" ref="AG92" si="24">$AE92*N92</f>
        <v>1117.5</v>
      </c>
      <c r="AH92" s="483">
        <f>$AE92*P92</f>
        <v>0</v>
      </c>
      <c r="AI92" s="483">
        <f>AE92*Q92</f>
        <v>758.75</v>
      </c>
      <c r="AJ92" s="387">
        <f>Z92+AC92+AF92+AH92</f>
        <v>896.75</v>
      </c>
      <c r="AK92" s="388">
        <f>AA92+AD92+AG92+AI92</f>
        <v>2457.7501999999999</v>
      </c>
      <c r="AL92" s="388">
        <f>AJ92-AJ89</f>
        <v>-150.75</v>
      </c>
      <c r="AM92" s="388">
        <f>AK92-AK89</f>
        <v>32.245199999999841</v>
      </c>
      <c r="AN92" s="388" t="s">
        <v>26</v>
      </c>
      <c r="AO92" s="388">
        <f>(AF92)*10/100/(B92/24)</f>
        <v>7.55</v>
      </c>
      <c r="AP92" s="591">
        <f>(AF92+AH92)/Z89</f>
        <v>0.36038186157517899</v>
      </c>
      <c r="AQ92" s="388">
        <f>(Z89-Z92)*10/100/(B92/24)</f>
        <v>15.844999999999999</v>
      </c>
      <c r="AR92" s="1053">
        <f>(Z89-Z92)</f>
        <v>792.25</v>
      </c>
      <c r="AS92" s="820">
        <f>((AC92+AF92)-AC89)/Z89</f>
        <v>0.61241050119331741</v>
      </c>
      <c r="AT92" s="472">
        <f>AU92/10</f>
        <v>7.422999999999999E-2</v>
      </c>
      <c r="AU92" s="900">
        <f>((G89+$T$1)-G92)/(1000*(B92/24))</f>
        <v>0.74229999999999996</v>
      </c>
    </row>
    <row r="93" spans="1:47" ht="15" thickTop="1" x14ac:dyDescent="0.3">
      <c r="A93" s="1086">
        <v>22</v>
      </c>
      <c r="B93" s="567">
        <v>0</v>
      </c>
      <c r="C93" s="1000">
        <v>7.46</v>
      </c>
      <c r="D93" s="664">
        <v>18.8</v>
      </c>
      <c r="E93" s="664">
        <f>42.5*25</f>
        <v>1062.5</v>
      </c>
      <c r="F93" s="664">
        <f>42.4*25</f>
        <v>1060</v>
      </c>
      <c r="G93" s="567">
        <f>345*5</f>
        <v>1725</v>
      </c>
      <c r="H93" s="1000">
        <v>11.64</v>
      </c>
      <c r="I93" s="664">
        <v>25.3</v>
      </c>
      <c r="J93" s="664">
        <v>0</v>
      </c>
      <c r="K93" s="1008">
        <v>3.09</v>
      </c>
      <c r="L93" s="663" t="s">
        <v>26</v>
      </c>
      <c r="M93" s="664" t="s">
        <v>26</v>
      </c>
      <c r="N93" s="567" t="s">
        <v>26</v>
      </c>
      <c r="O93" s="663" t="s">
        <v>26</v>
      </c>
      <c r="P93" s="664" t="s">
        <v>26</v>
      </c>
      <c r="Q93" s="567" t="s">
        <v>26</v>
      </c>
      <c r="R93" s="663" t="s">
        <v>26</v>
      </c>
      <c r="S93" s="664" t="s">
        <v>26</v>
      </c>
      <c r="T93" s="664" t="s">
        <v>26</v>
      </c>
      <c r="U93" s="567" t="s">
        <v>26</v>
      </c>
      <c r="V93" s="1073">
        <v>150</v>
      </c>
      <c r="W93" s="1009" t="s">
        <v>126</v>
      </c>
      <c r="X93" s="654"/>
      <c r="Y93" s="571">
        <v>0.98</v>
      </c>
      <c r="Z93" s="323">
        <f>($Y93*E93)+AN93</f>
        <v>1062.5</v>
      </c>
      <c r="AA93" s="323">
        <f>($Y93*F93)+(0.02*F93)</f>
        <v>1060</v>
      </c>
      <c r="AB93" s="405">
        <f>0.48</f>
        <v>0.48</v>
      </c>
      <c r="AC93" s="323">
        <f>AB93*J93</f>
        <v>0</v>
      </c>
      <c r="AD93" s="594">
        <f>(AB93*K93)+(0.02*K93)</f>
        <v>1.5449999999999999</v>
      </c>
      <c r="AE93" s="330">
        <v>0.5</v>
      </c>
      <c r="AF93" s="367">
        <v>0</v>
      </c>
      <c r="AG93" s="367">
        <f>(0.1*14*1000)*AE93</f>
        <v>700.00000000000011</v>
      </c>
      <c r="AH93" s="367">
        <v>0</v>
      </c>
      <c r="AI93" s="367">
        <f>(0.1*14*1000)*AE93</f>
        <v>700.00000000000011</v>
      </c>
      <c r="AJ93" s="374">
        <f>Z93+AC93+AF93+AH93</f>
        <v>1062.5</v>
      </c>
      <c r="AK93" s="331">
        <f>AA93+AD93+AG93+AI93</f>
        <v>2461.5450000000001</v>
      </c>
      <c r="AL93" s="331" t="s">
        <v>26</v>
      </c>
      <c r="AM93" s="331" t="s">
        <v>26</v>
      </c>
      <c r="AN93" s="331">
        <f t="shared" ref="AN93:AN95" si="25">0.02*E93</f>
        <v>21.25</v>
      </c>
      <c r="AO93" s="301"/>
      <c r="AP93" s="301"/>
      <c r="AQ93" s="536"/>
      <c r="AR93" s="925"/>
      <c r="AS93" s="824"/>
      <c r="AT93" s="41"/>
      <c r="AU93" s="44"/>
    </row>
    <row r="94" spans="1:47" x14ac:dyDescent="0.3">
      <c r="A94" s="1077"/>
      <c r="B94" s="95">
        <v>20</v>
      </c>
      <c r="C94" s="1001">
        <v>7.91</v>
      </c>
      <c r="D94" s="570">
        <v>17.66</v>
      </c>
      <c r="E94" s="94">
        <f>25.5*25</f>
        <v>637.5</v>
      </c>
      <c r="F94" s="94" t="s">
        <v>26</v>
      </c>
      <c r="G94" s="95">
        <f>203*5</f>
        <v>1015</v>
      </c>
      <c r="H94" s="1001" t="s">
        <v>26</v>
      </c>
      <c r="I94" s="94" t="s">
        <v>26</v>
      </c>
      <c r="J94" s="94" t="s">
        <v>26</v>
      </c>
      <c r="K94" s="96" t="s">
        <v>26</v>
      </c>
      <c r="L94" s="27" t="s">
        <v>26</v>
      </c>
      <c r="M94" s="94" t="s">
        <v>26</v>
      </c>
      <c r="N94" s="95" t="s">
        <v>26</v>
      </c>
      <c r="O94" s="27" t="s">
        <v>26</v>
      </c>
      <c r="P94" s="94" t="s">
        <v>26</v>
      </c>
      <c r="Q94" s="95" t="s">
        <v>26</v>
      </c>
      <c r="R94" s="27" t="s">
        <v>26</v>
      </c>
      <c r="S94" s="94" t="s">
        <v>26</v>
      </c>
      <c r="T94" s="94" t="s">
        <v>26</v>
      </c>
      <c r="U94" s="95" t="s">
        <v>26</v>
      </c>
      <c r="V94" s="1074"/>
      <c r="W94" s="563" t="s">
        <v>198</v>
      </c>
      <c r="X94" s="654"/>
      <c r="Y94" s="572">
        <f>Y93-0.02</f>
        <v>0.96</v>
      </c>
      <c r="Z94" s="138">
        <f>($Y94*E94)+SUM($AN$93:AN94)</f>
        <v>646</v>
      </c>
      <c r="AA94" s="138" t="s">
        <v>26</v>
      </c>
      <c r="AB94" s="419" t="s">
        <v>26</v>
      </c>
      <c r="AC94" s="138" t="s">
        <v>26</v>
      </c>
      <c r="AD94" s="138" t="s">
        <v>26</v>
      </c>
      <c r="AE94" s="333">
        <v>0.5</v>
      </c>
      <c r="AF94" s="325" t="s">
        <v>26</v>
      </c>
      <c r="AG94" s="325" t="s">
        <v>26</v>
      </c>
      <c r="AH94" s="325" t="s">
        <v>26</v>
      </c>
      <c r="AI94" s="325" t="s">
        <v>26</v>
      </c>
      <c r="AJ94" s="376" t="s">
        <v>26</v>
      </c>
      <c r="AK94" s="334" t="s">
        <v>26</v>
      </c>
      <c r="AL94" s="334" t="s">
        <v>26</v>
      </c>
      <c r="AM94" s="334" t="s">
        <v>26</v>
      </c>
      <c r="AN94" s="334">
        <f t="shared" si="25"/>
        <v>12.75</v>
      </c>
      <c r="AO94" s="302"/>
      <c r="AP94" s="302"/>
      <c r="AQ94" s="535"/>
      <c r="AR94" s="928"/>
      <c r="AS94" s="819"/>
      <c r="AT94" s="30"/>
      <c r="AU94" s="31"/>
    </row>
    <row r="95" spans="1:47" x14ac:dyDescent="0.3">
      <c r="A95" s="1077"/>
      <c r="B95" s="95">
        <v>92</v>
      </c>
      <c r="C95" s="1001">
        <v>8.2799999999999994</v>
      </c>
      <c r="D95" s="94">
        <v>17.04</v>
      </c>
      <c r="E95" s="94">
        <f>25.8*10</f>
        <v>258</v>
      </c>
      <c r="F95" s="94" t="s">
        <v>26</v>
      </c>
      <c r="G95" s="95">
        <f>26*10</f>
        <v>260</v>
      </c>
      <c r="H95" s="1001" t="s">
        <v>26</v>
      </c>
      <c r="I95" s="94" t="s">
        <v>26</v>
      </c>
      <c r="J95" s="94" t="s">
        <v>26</v>
      </c>
      <c r="K95" s="96" t="s">
        <v>26</v>
      </c>
      <c r="L95" s="27" t="s">
        <v>26</v>
      </c>
      <c r="M95" s="94" t="s">
        <v>26</v>
      </c>
      <c r="N95" s="95" t="s">
        <v>26</v>
      </c>
      <c r="O95" s="27" t="s">
        <v>26</v>
      </c>
      <c r="P95" s="94" t="s">
        <v>26</v>
      </c>
      <c r="Q95" s="95" t="s">
        <v>26</v>
      </c>
      <c r="R95" s="27" t="s">
        <v>26</v>
      </c>
      <c r="S95" s="94" t="s">
        <v>26</v>
      </c>
      <c r="T95" s="94" t="s">
        <v>26</v>
      </c>
      <c r="U95" s="95" t="s">
        <v>26</v>
      </c>
      <c r="V95" s="1074"/>
      <c r="W95" s="563" t="s">
        <v>195</v>
      </c>
      <c r="X95" s="654"/>
      <c r="Y95" s="418">
        <f>Y94-0.02</f>
        <v>0.94</v>
      </c>
      <c r="Z95" s="138">
        <f>($Y95*E95)+SUM($AN$93:AN95)</f>
        <v>281.67999999999995</v>
      </c>
      <c r="AA95" s="38" t="s">
        <v>26</v>
      </c>
      <c r="AB95" s="418" t="s">
        <v>26</v>
      </c>
      <c r="AC95" s="38" t="s">
        <v>26</v>
      </c>
      <c r="AD95" s="38" t="s">
        <v>26</v>
      </c>
      <c r="AE95" s="514">
        <v>0.5</v>
      </c>
      <c r="AF95" s="79" t="s">
        <v>26</v>
      </c>
      <c r="AG95" s="79" t="s">
        <v>26</v>
      </c>
      <c r="AH95" s="79" t="s">
        <v>26</v>
      </c>
      <c r="AI95" s="79" t="s">
        <v>26</v>
      </c>
      <c r="AJ95" s="393" t="s">
        <v>26</v>
      </c>
      <c r="AK95" s="394" t="s">
        <v>26</v>
      </c>
      <c r="AL95" s="394" t="s">
        <v>26</v>
      </c>
      <c r="AM95" s="394" t="s">
        <v>26</v>
      </c>
      <c r="AN95" s="394">
        <f t="shared" si="25"/>
        <v>5.16</v>
      </c>
      <c r="AO95" s="532"/>
      <c r="AP95" s="532"/>
      <c r="AQ95" s="497"/>
      <c r="AR95" s="927"/>
      <c r="AS95" s="821"/>
      <c r="AT95" s="30"/>
      <c r="AU95" s="31"/>
    </row>
    <row r="96" spans="1:47" ht="15" thickBot="1" x14ac:dyDescent="0.35">
      <c r="A96" s="1140"/>
      <c r="B96" s="1010">
        <v>120</v>
      </c>
      <c r="C96" s="1011">
        <v>8.16</v>
      </c>
      <c r="D96" s="1011">
        <v>17.22</v>
      </c>
      <c r="E96" s="1011">
        <f>16.9*10</f>
        <v>169</v>
      </c>
      <c r="F96" s="1011">
        <f>21.9*10</f>
        <v>219</v>
      </c>
      <c r="G96" s="1010">
        <f>53*10</f>
        <v>530</v>
      </c>
      <c r="H96" s="1012">
        <v>10.35</v>
      </c>
      <c r="I96" s="1011">
        <v>28</v>
      </c>
      <c r="J96" s="1011">
        <f>19.4*25</f>
        <v>484.99999999999994</v>
      </c>
      <c r="K96" s="1013">
        <f>21.5*25</f>
        <v>537.5</v>
      </c>
      <c r="L96" s="1014">
        <v>18.18</v>
      </c>
      <c r="M96" s="1011">
        <f>42.2*25</f>
        <v>1055</v>
      </c>
      <c r="N96" s="1010">
        <f>96.9*25</f>
        <v>2422.5</v>
      </c>
      <c r="O96" s="1014">
        <v>38.5</v>
      </c>
      <c r="P96" s="1011">
        <v>0</v>
      </c>
      <c r="Q96" s="1010">
        <f>31.4*50</f>
        <v>1570</v>
      </c>
      <c r="R96" s="1014" t="s">
        <v>26</v>
      </c>
      <c r="S96" s="1011" t="s">
        <v>26</v>
      </c>
      <c r="T96" s="1011">
        <v>0.2</v>
      </c>
      <c r="U96" s="1010">
        <v>20.63</v>
      </c>
      <c r="V96" s="1075"/>
      <c r="W96" s="1015" t="s">
        <v>86</v>
      </c>
      <c r="X96" s="766"/>
      <c r="Y96" s="1016">
        <f>Y95</f>
        <v>0.94</v>
      </c>
      <c r="Z96" s="1011">
        <f>($Y96*E96)+SUM($AN$93:AN95)</f>
        <v>198.01999999999998</v>
      </c>
      <c r="AA96" s="1011">
        <f>($Y96*F96)+(0.02*F93)</f>
        <v>227.05999999999997</v>
      </c>
      <c r="AB96" s="1016">
        <v>0.48</v>
      </c>
      <c r="AC96" s="1011">
        <f>AB96*J96</f>
        <v>232.79999999999995</v>
      </c>
      <c r="AD96" s="1017">
        <f>($AB96*K96)+(0.02*K93)</f>
        <v>258.06180000000001</v>
      </c>
      <c r="AE96" s="1018">
        <v>0.5</v>
      </c>
      <c r="AF96" s="1019">
        <f t="shared" ref="AF96" si="26">$AE96*M96</f>
        <v>527.5</v>
      </c>
      <c r="AG96" s="1019">
        <f t="shared" ref="AG96" si="27">$AE96*N96</f>
        <v>1211.25</v>
      </c>
      <c r="AH96" s="1019">
        <f>$AE96*P96</f>
        <v>0</v>
      </c>
      <c r="AI96" s="1019">
        <f>AE96*Q96</f>
        <v>785</v>
      </c>
      <c r="AJ96" s="1020">
        <f>Z96+AC96+AF96+AH96</f>
        <v>958.31999999999994</v>
      </c>
      <c r="AK96" s="1021">
        <f>AA96+AD96+AG96+AI96</f>
        <v>2481.3717999999999</v>
      </c>
      <c r="AL96" s="1021">
        <f>AJ96-AJ93</f>
        <v>-104.18000000000006</v>
      </c>
      <c r="AM96" s="1021">
        <f>AK96-AK93</f>
        <v>19.826799999999821</v>
      </c>
      <c r="AN96" s="1021" t="s">
        <v>26</v>
      </c>
      <c r="AO96" s="1021">
        <f>(AF96)*10/100/(B96/24)</f>
        <v>10.55</v>
      </c>
      <c r="AP96" s="1022">
        <f>(AF96+AH96)/Z93</f>
        <v>0.49647058823529411</v>
      </c>
      <c r="AQ96" s="1021">
        <f>(Z93-Z96)*10/100/(B96/24)</f>
        <v>17.2896</v>
      </c>
      <c r="AR96" s="1054">
        <f>(Z93-Z96)</f>
        <v>864.48</v>
      </c>
      <c r="AS96" s="1023">
        <f>((AC96+AF96)-AC93)/Z93</f>
        <v>0.71557647058823526</v>
      </c>
      <c r="AT96" s="1024">
        <f>AU96/10</f>
        <v>9.3899999999999997E-2</v>
      </c>
      <c r="AU96" s="1025">
        <f>((G93+$T$3)-G96)/(1000*(B96/24))</f>
        <v>0.93899999999999995</v>
      </c>
    </row>
    <row r="97" spans="1:47" ht="15" thickTop="1" x14ac:dyDescent="0.3">
      <c r="A97" s="1076" t="s">
        <v>188</v>
      </c>
      <c r="B97" s="623">
        <v>0</v>
      </c>
      <c r="C97" s="968">
        <v>8.09</v>
      </c>
      <c r="D97" s="569">
        <v>20.22</v>
      </c>
      <c r="E97" s="569">
        <f>40.9*25</f>
        <v>1022.5</v>
      </c>
      <c r="F97" s="569">
        <f>42.3*25</f>
        <v>1057.5</v>
      </c>
      <c r="G97" s="623">
        <f>387*5</f>
        <v>1935</v>
      </c>
      <c r="H97" s="968">
        <v>12.2</v>
      </c>
      <c r="I97" s="569">
        <v>21.61</v>
      </c>
      <c r="J97" s="569">
        <v>0</v>
      </c>
      <c r="K97" s="649">
        <v>0</v>
      </c>
      <c r="L97" s="650" t="s">
        <v>26</v>
      </c>
      <c r="M97" s="569" t="s">
        <v>26</v>
      </c>
      <c r="N97" s="623" t="s">
        <v>26</v>
      </c>
      <c r="O97" s="650" t="s">
        <v>26</v>
      </c>
      <c r="P97" s="569" t="s">
        <v>26</v>
      </c>
      <c r="Q97" s="623" t="s">
        <v>26</v>
      </c>
      <c r="R97" s="650" t="s">
        <v>26</v>
      </c>
      <c r="S97" s="569" t="s">
        <v>26</v>
      </c>
      <c r="T97" s="569" t="s">
        <v>26</v>
      </c>
      <c r="U97" s="623" t="s">
        <v>26</v>
      </c>
      <c r="V97" s="1074">
        <v>150</v>
      </c>
      <c r="W97" s="563" t="s">
        <v>126</v>
      </c>
      <c r="X97" s="654"/>
      <c r="Y97" s="635">
        <v>0.98</v>
      </c>
      <c r="Z97" s="38">
        <f>($Y97*E97)+AN97</f>
        <v>1022.5</v>
      </c>
      <c r="AA97" s="38">
        <f>($Y97*F97)+(0.02*F97)</f>
        <v>1057.5</v>
      </c>
      <c r="AB97" s="418">
        <f>0.48</f>
        <v>0.48</v>
      </c>
      <c r="AC97" s="38">
        <f>AB97*J97</f>
        <v>0</v>
      </c>
      <c r="AD97" s="566">
        <f>(AB97*K97)+(0.02*K97)</f>
        <v>0</v>
      </c>
      <c r="AE97" s="514">
        <v>0.5</v>
      </c>
      <c r="AF97" s="79">
        <v>0</v>
      </c>
      <c r="AG97" s="79">
        <f>(0.43*14*1000)*AE97</f>
        <v>3010</v>
      </c>
      <c r="AH97" s="79">
        <v>0</v>
      </c>
      <c r="AI97" s="79">
        <f>(0.43*14*1000)*AE97</f>
        <v>3010</v>
      </c>
      <c r="AJ97" s="393">
        <f>Z97+AC97+AF97+AH97</f>
        <v>1022.5</v>
      </c>
      <c r="AK97" s="394">
        <f>AA97+AD97+AG97+AI97</f>
        <v>7077.5</v>
      </c>
      <c r="AL97" s="394" t="s">
        <v>26</v>
      </c>
      <c r="AM97" s="394" t="s">
        <v>26</v>
      </c>
      <c r="AN97" s="394">
        <f t="shared" ref="AN97:AN99" si="28">0.02*E97</f>
        <v>20.45</v>
      </c>
      <c r="AO97" s="532"/>
      <c r="AP97" s="532"/>
      <c r="AQ97" s="497"/>
      <c r="AR97" s="1047"/>
      <c r="AS97" s="818"/>
      <c r="AT97" s="41"/>
      <c r="AU97" s="44"/>
    </row>
    <row r="98" spans="1:47" x14ac:dyDescent="0.3">
      <c r="A98" s="1077"/>
      <c r="B98" s="95">
        <v>24.5</v>
      </c>
      <c r="C98" s="967">
        <v>8.15</v>
      </c>
      <c r="D98" s="570">
        <v>18.57</v>
      </c>
      <c r="E98" s="94">
        <f>23.9*25</f>
        <v>597.5</v>
      </c>
      <c r="F98" s="94" t="s">
        <v>26</v>
      </c>
      <c r="G98" s="95">
        <f>264*5</f>
        <v>1320</v>
      </c>
      <c r="H98" s="967" t="s">
        <v>26</v>
      </c>
      <c r="I98" s="94" t="s">
        <v>26</v>
      </c>
      <c r="J98" s="94" t="s">
        <v>26</v>
      </c>
      <c r="K98" s="96" t="s">
        <v>26</v>
      </c>
      <c r="L98" s="27" t="s">
        <v>26</v>
      </c>
      <c r="M98" s="94" t="s">
        <v>26</v>
      </c>
      <c r="N98" s="95" t="s">
        <v>26</v>
      </c>
      <c r="O98" s="27" t="s">
        <v>26</v>
      </c>
      <c r="P98" s="94" t="s">
        <v>26</v>
      </c>
      <c r="Q98" s="95" t="s">
        <v>26</v>
      </c>
      <c r="R98" s="27" t="s">
        <v>26</v>
      </c>
      <c r="S98" s="94" t="s">
        <v>26</v>
      </c>
      <c r="T98" s="94" t="s">
        <v>26</v>
      </c>
      <c r="U98" s="95" t="s">
        <v>26</v>
      </c>
      <c r="V98" s="1074"/>
      <c r="W98" s="563" t="s">
        <v>198</v>
      </c>
      <c r="X98" s="654"/>
      <c r="Y98" s="572">
        <f>Y97-0.02</f>
        <v>0.96</v>
      </c>
      <c r="Z98" s="138">
        <f>($Y98*E98)+SUM($AN$97:AN98)</f>
        <v>606</v>
      </c>
      <c r="AA98" s="138" t="s">
        <v>26</v>
      </c>
      <c r="AB98" s="419" t="s">
        <v>26</v>
      </c>
      <c r="AC98" s="138" t="s">
        <v>26</v>
      </c>
      <c r="AD98" s="138" t="s">
        <v>26</v>
      </c>
      <c r="AE98" s="333">
        <v>0.5</v>
      </c>
      <c r="AF98" s="325" t="s">
        <v>26</v>
      </c>
      <c r="AG98" s="325" t="s">
        <v>26</v>
      </c>
      <c r="AH98" s="325" t="s">
        <v>26</v>
      </c>
      <c r="AI98" s="325" t="s">
        <v>26</v>
      </c>
      <c r="AJ98" s="376" t="s">
        <v>26</v>
      </c>
      <c r="AK98" s="334" t="s">
        <v>26</v>
      </c>
      <c r="AL98" s="334" t="s">
        <v>26</v>
      </c>
      <c r="AM98" s="334" t="s">
        <v>26</v>
      </c>
      <c r="AN98" s="334">
        <f t="shared" si="28"/>
        <v>11.950000000000001</v>
      </c>
      <c r="AO98" s="302"/>
      <c r="AP98" s="302"/>
      <c r="AQ98" s="535"/>
      <c r="AR98" s="1048"/>
      <c r="AS98" s="819"/>
      <c r="AT98" s="30"/>
      <c r="AU98" s="31"/>
    </row>
    <row r="99" spans="1:47" x14ac:dyDescent="0.3">
      <c r="A99" s="1077"/>
      <c r="B99" s="95">
        <v>89</v>
      </c>
      <c r="C99" s="967">
        <v>8</v>
      </c>
      <c r="D99" s="94">
        <v>18.489999999999998</v>
      </c>
      <c r="E99" s="94">
        <f>10.5*25</f>
        <v>262.5</v>
      </c>
      <c r="F99" s="94" t="s">
        <v>26</v>
      </c>
      <c r="G99" s="95">
        <f>535*5</f>
        <v>2675</v>
      </c>
      <c r="H99" s="967" t="s">
        <v>26</v>
      </c>
      <c r="I99" s="94" t="s">
        <v>26</v>
      </c>
      <c r="J99" s="94" t="s">
        <v>26</v>
      </c>
      <c r="K99" s="96" t="s">
        <v>26</v>
      </c>
      <c r="L99" s="27" t="s">
        <v>26</v>
      </c>
      <c r="M99" s="94" t="s">
        <v>26</v>
      </c>
      <c r="N99" s="95" t="s">
        <v>26</v>
      </c>
      <c r="O99" s="27" t="s">
        <v>26</v>
      </c>
      <c r="P99" s="94" t="s">
        <v>26</v>
      </c>
      <c r="Q99" s="95" t="s">
        <v>26</v>
      </c>
      <c r="R99" s="27" t="s">
        <v>26</v>
      </c>
      <c r="S99" s="94" t="s">
        <v>26</v>
      </c>
      <c r="T99" s="94" t="s">
        <v>26</v>
      </c>
      <c r="U99" s="95" t="s">
        <v>26</v>
      </c>
      <c r="V99" s="1074"/>
      <c r="W99" s="563" t="s">
        <v>195</v>
      </c>
      <c r="X99" s="654"/>
      <c r="Y99" s="418">
        <f>Y98-0.02</f>
        <v>0.94</v>
      </c>
      <c r="Z99" s="138">
        <f>($Y99*E99)+SUM($AN$97:AN99)</f>
        <v>284.39999999999998</v>
      </c>
      <c r="AA99" s="38" t="s">
        <v>26</v>
      </c>
      <c r="AB99" s="418" t="s">
        <v>26</v>
      </c>
      <c r="AC99" s="38" t="s">
        <v>26</v>
      </c>
      <c r="AD99" s="38" t="s">
        <v>26</v>
      </c>
      <c r="AE99" s="514">
        <v>0.5</v>
      </c>
      <c r="AF99" s="79" t="s">
        <v>26</v>
      </c>
      <c r="AG99" s="79" t="s">
        <v>26</v>
      </c>
      <c r="AH99" s="79" t="s">
        <v>26</v>
      </c>
      <c r="AI99" s="79" t="s">
        <v>26</v>
      </c>
      <c r="AJ99" s="393" t="s">
        <v>26</v>
      </c>
      <c r="AK99" s="394" t="s">
        <v>26</v>
      </c>
      <c r="AL99" s="394" t="s">
        <v>26</v>
      </c>
      <c r="AM99" s="394" t="s">
        <v>26</v>
      </c>
      <c r="AN99" s="394">
        <f t="shared" si="28"/>
        <v>5.25</v>
      </c>
      <c r="AO99" s="532"/>
      <c r="AP99" s="532"/>
      <c r="AQ99" s="497"/>
      <c r="AR99" s="1047"/>
      <c r="AS99" s="821"/>
      <c r="AT99" s="30"/>
      <c r="AU99" s="31"/>
    </row>
    <row r="100" spans="1:47" ht="15" thickBot="1" x14ac:dyDescent="0.35">
      <c r="A100" s="1078"/>
      <c r="B100" s="305">
        <v>120</v>
      </c>
      <c r="C100" s="307">
        <v>7.96</v>
      </c>
      <c r="D100" s="307">
        <v>17.760000000000002</v>
      </c>
      <c r="E100" s="307">
        <f>15.2*10</f>
        <v>152</v>
      </c>
      <c r="F100" s="307">
        <f>36*5</f>
        <v>180</v>
      </c>
      <c r="G100" s="305">
        <f>562*5</f>
        <v>2810</v>
      </c>
      <c r="H100" s="306">
        <v>11.57</v>
      </c>
      <c r="I100" s="307">
        <v>25.7</v>
      </c>
      <c r="J100" s="307">
        <f>25.2*25</f>
        <v>630</v>
      </c>
      <c r="K100" s="308">
        <f>25.7*25</f>
        <v>642.5</v>
      </c>
      <c r="L100" s="973">
        <v>129.6</v>
      </c>
      <c r="M100" s="307">
        <f>17.8*50</f>
        <v>890</v>
      </c>
      <c r="N100" s="974">
        <f>63.5*100</f>
        <v>6350</v>
      </c>
      <c r="O100" s="973">
        <v>170.7</v>
      </c>
      <c r="P100" s="307">
        <v>7.85</v>
      </c>
      <c r="Q100" s="974">
        <f>120*50</f>
        <v>6000</v>
      </c>
      <c r="R100" s="312" t="s">
        <v>26</v>
      </c>
      <c r="S100" s="307" t="s">
        <v>26</v>
      </c>
      <c r="T100" s="307">
        <v>0.25</v>
      </c>
      <c r="U100" s="305">
        <v>21.69</v>
      </c>
      <c r="V100" s="1085"/>
      <c r="W100" s="662" t="s">
        <v>86</v>
      </c>
      <c r="X100" s="766"/>
      <c r="Y100" s="417">
        <f>Y99</f>
        <v>0.94</v>
      </c>
      <c r="Z100" s="307">
        <f>($Y100*E100)+SUM($AN$97:AN99)</f>
        <v>180.53</v>
      </c>
      <c r="AA100" s="307">
        <f>($Y100*F100)+(0.02*F97)</f>
        <v>190.35</v>
      </c>
      <c r="AB100" s="417">
        <v>0.48</v>
      </c>
      <c r="AC100" s="307">
        <f>AB100*J100</f>
        <v>302.39999999999998</v>
      </c>
      <c r="AD100" s="586">
        <f>($AB100*K100)+(0.02*K97)</f>
        <v>308.39999999999998</v>
      </c>
      <c r="AE100" s="510">
        <v>0.5</v>
      </c>
      <c r="AF100" s="483">
        <f t="shared" ref="AF100" si="29">$AE100*M100</f>
        <v>445</v>
      </c>
      <c r="AG100" s="483">
        <f t="shared" ref="AG100" si="30">$AE100*N100</f>
        <v>3175</v>
      </c>
      <c r="AH100" s="483">
        <f>$AE100*P100</f>
        <v>3.9249999999999998</v>
      </c>
      <c r="AI100" s="483">
        <f>AE100*Q100</f>
        <v>3000</v>
      </c>
      <c r="AJ100" s="387">
        <f>Z100+AC100+AF100+AH100</f>
        <v>931.8549999999999</v>
      </c>
      <c r="AK100" s="388">
        <f>AA100+AD100+AG100+AI100</f>
        <v>6673.75</v>
      </c>
      <c r="AL100" s="388">
        <f>AJ100-AJ97</f>
        <v>-90.645000000000095</v>
      </c>
      <c r="AM100" s="388">
        <f>AK100-AK97</f>
        <v>-403.75</v>
      </c>
      <c r="AN100" s="388" t="s">
        <v>26</v>
      </c>
      <c r="AO100" s="388">
        <f>(AF100)*10/100/(B100/24)</f>
        <v>8.9</v>
      </c>
      <c r="AP100" s="1006">
        <f>(AF100+AH100)/Z97</f>
        <v>0.43904645476772619</v>
      </c>
      <c r="AQ100" s="388">
        <f>(Z97-Z100)*10/100/(B100/24)</f>
        <v>16.839400000000001</v>
      </c>
      <c r="AR100" s="1055">
        <f>(Z97-Z100)</f>
        <v>841.97</v>
      </c>
      <c r="AS100" s="820">
        <f>((AC100+AF100)-AC97)/Z97</f>
        <v>0.73095354523227385</v>
      </c>
      <c r="AT100" s="472">
        <f>AU100/10</f>
        <v>5.2500000000000005E-2</v>
      </c>
      <c r="AU100" s="900">
        <f>((G97+$T$3)-G100)/(1000*(B100/24))</f>
        <v>0.52500000000000002</v>
      </c>
    </row>
    <row r="101" spans="1:47" ht="15" thickTop="1" x14ac:dyDescent="0.3">
      <c r="A101" s="1086" t="s">
        <v>199</v>
      </c>
      <c r="B101" s="567">
        <v>0</v>
      </c>
      <c r="C101" s="999">
        <v>7.69</v>
      </c>
      <c r="D101" s="569">
        <v>19.52</v>
      </c>
      <c r="E101" s="569">
        <f>39.2*25</f>
        <v>980.00000000000011</v>
      </c>
      <c r="F101" s="569">
        <f>42*25</f>
        <v>1050</v>
      </c>
      <c r="G101" s="567">
        <f>382*5</f>
        <v>1910</v>
      </c>
      <c r="H101" s="999">
        <v>12.03</v>
      </c>
      <c r="I101" s="569">
        <v>20.54</v>
      </c>
      <c r="J101" s="569">
        <v>0</v>
      </c>
      <c r="K101" s="649">
        <v>0</v>
      </c>
      <c r="L101" s="663" t="s">
        <v>26</v>
      </c>
      <c r="M101" s="664" t="s">
        <v>26</v>
      </c>
      <c r="N101" s="567" t="s">
        <v>26</v>
      </c>
      <c r="O101" s="663" t="s">
        <v>26</v>
      </c>
      <c r="P101" s="664" t="s">
        <v>26</v>
      </c>
      <c r="Q101" s="567" t="s">
        <v>26</v>
      </c>
      <c r="R101" s="663" t="s">
        <v>26</v>
      </c>
      <c r="S101" s="664" t="s">
        <v>26</v>
      </c>
      <c r="T101" s="664" t="s">
        <v>26</v>
      </c>
      <c r="U101" s="567" t="s">
        <v>26</v>
      </c>
      <c r="V101" s="1073">
        <v>150</v>
      </c>
      <c r="W101" s="563" t="s">
        <v>126</v>
      </c>
      <c r="X101" s="654"/>
      <c r="Y101" s="571">
        <v>0.98</v>
      </c>
      <c r="Z101" s="323">
        <f>($Y101*E101)+AN101</f>
        <v>980.00000000000011</v>
      </c>
      <c r="AA101" s="323">
        <f>($Y101*F101)+(0.02*F101)</f>
        <v>1050</v>
      </c>
      <c r="AB101" s="405">
        <f>0.48</f>
        <v>0.48</v>
      </c>
      <c r="AC101" s="323">
        <f>AB101*J101</f>
        <v>0</v>
      </c>
      <c r="AD101" s="594">
        <f>(AB101*K101)+(0.02*K101)</f>
        <v>0</v>
      </c>
      <c r="AE101" s="330">
        <v>0.5</v>
      </c>
      <c r="AF101" s="367">
        <v>0</v>
      </c>
      <c r="AG101" s="367">
        <f>(0.1*14*1000)*AE101</f>
        <v>700.00000000000011</v>
      </c>
      <c r="AH101" s="367">
        <v>0</v>
      </c>
      <c r="AI101" s="367">
        <f>(0.1*14*1000)*AE101</f>
        <v>700.00000000000011</v>
      </c>
      <c r="AJ101" s="374">
        <f>Z101+AC101+AF101+AH101</f>
        <v>980.00000000000011</v>
      </c>
      <c r="AK101" s="331">
        <f>AA101+AD101+AG101+AI101</f>
        <v>2450</v>
      </c>
      <c r="AL101" s="331" t="s">
        <v>26</v>
      </c>
      <c r="AM101" s="331" t="s">
        <v>26</v>
      </c>
      <c r="AN101" s="331">
        <f t="shared" ref="AN101:AN103" si="31">0.02*E101</f>
        <v>19.600000000000001</v>
      </c>
      <c r="AO101" s="301"/>
      <c r="AP101" s="301"/>
      <c r="AQ101" s="536"/>
      <c r="AR101" s="1049"/>
      <c r="AS101" s="824"/>
      <c r="AT101" s="41"/>
      <c r="AU101" s="44"/>
    </row>
    <row r="102" spans="1:47" x14ac:dyDescent="0.3">
      <c r="A102" s="1077"/>
      <c r="B102" s="95">
        <v>21</v>
      </c>
      <c r="C102" s="998">
        <v>7.92</v>
      </c>
      <c r="D102" s="570">
        <v>17.78</v>
      </c>
      <c r="E102" s="94">
        <f>24.2*25</f>
        <v>605</v>
      </c>
      <c r="F102" s="94" t="s">
        <v>26</v>
      </c>
      <c r="G102" s="95">
        <f>276*5</f>
        <v>1380</v>
      </c>
      <c r="H102" s="998" t="s">
        <v>26</v>
      </c>
      <c r="I102" s="94" t="s">
        <v>26</v>
      </c>
      <c r="J102" s="94" t="s">
        <v>26</v>
      </c>
      <c r="K102" s="96" t="s">
        <v>26</v>
      </c>
      <c r="L102" s="27" t="s">
        <v>26</v>
      </c>
      <c r="M102" s="94" t="s">
        <v>26</v>
      </c>
      <c r="N102" s="95" t="s">
        <v>26</v>
      </c>
      <c r="O102" s="27" t="s">
        <v>26</v>
      </c>
      <c r="P102" s="94" t="s">
        <v>26</v>
      </c>
      <c r="Q102" s="95" t="s">
        <v>26</v>
      </c>
      <c r="R102" s="27" t="s">
        <v>26</v>
      </c>
      <c r="S102" s="94" t="s">
        <v>26</v>
      </c>
      <c r="T102" s="94" t="s">
        <v>26</v>
      </c>
      <c r="U102" s="95" t="s">
        <v>26</v>
      </c>
      <c r="V102" s="1074"/>
      <c r="W102" s="563" t="s">
        <v>197</v>
      </c>
      <c r="X102" s="654"/>
      <c r="Y102" s="572">
        <f>Y101-0.02</f>
        <v>0.96</v>
      </c>
      <c r="Z102" s="138">
        <f>($Y102*E102)+SUM($AN$101:AN102)</f>
        <v>612.5</v>
      </c>
      <c r="AA102" s="138" t="s">
        <v>26</v>
      </c>
      <c r="AB102" s="419" t="s">
        <v>26</v>
      </c>
      <c r="AC102" s="138" t="s">
        <v>26</v>
      </c>
      <c r="AD102" s="138" t="s">
        <v>26</v>
      </c>
      <c r="AE102" s="333">
        <v>0.5</v>
      </c>
      <c r="AF102" s="325" t="s">
        <v>26</v>
      </c>
      <c r="AG102" s="325" t="s">
        <v>26</v>
      </c>
      <c r="AH102" s="325" t="s">
        <v>26</v>
      </c>
      <c r="AI102" s="325" t="s">
        <v>26</v>
      </c>
      <c r="AJ102" s="376" t="s">
        <v>26</v>
      </c>
      <c r="AK102" s="334" t="s">
        <v>26</v>
      </c>
      <c r="AL102" s="334" t="s">
        <v>26</v>
      </c>
      <c r="AM102" s="334" t="s">
        <v>26</v>
      </c>
      <c r="AN102" s="334">
        <f t="shared" si="31"/>
        <v>12.1</v>
      </c>
      <c r="AO102" s="302"/>
      <c r="AP102" s="302"/>
      <c r="AQ102" s="535"/>
      <c r="AR102" s="1048"/>
      <c r="AS102" s="819"/>
      <c r="AT102" s="30"/>
      <c r="AU102" s="31"/>
    </row>
    <row r="103" spans="1:47" x14ac:dyDescent="0.3">
      <c r="A103" s="1077"/>
      <c r="B103" s="95">
        <v>90</v>
      </c>
      <c r="C103" s="998">
        <v>7.78</v>
      </c>
      <c r="D103" s="94">
        <v>16.05</v>
      </c>
      <c r="E103" s="94">
        <f>24.9*10</f>
        <v>249</v>
      </c>
      <c r="F103" s="94" t="s">
        <v>26</v>
      </c>
      <c r="G103" s="95">
        <f>134*10</f>
        <v>1340</v>
      </c>
      <c r="H103" s="998" t="s">
        <v>26</v>
      </c>
      <c r="I103" s="94" t="s">
        <v>26</v>
      </c>
      <c r="J103" s="94" t="s">
        <v>26</v>
      </c>
      <c r="K103" s="96" t="s">
        <v>26</v>
      </c>
      <c r="L103" s="27" t="s">
        <v>26</v>
      </c>
      <c r="M103" s="94" t="s">
        <v>26</v>
      </c>
      <c r="N103" s="95" t="s">
        <v>26</v>
      </c>
      <c r="O103" s="27" t="s">
        <v>26</v>
      </c>
      <c r="P103" s="94" t="s">
        <v>26</v>
      </c>
      <c r="Q103" s="95" t="s">
        <v>26</v>
      </c>
      <c r="R103" s="27" t="s">
        <v>26</v>
      </c>
      <c r="S103" s="94" t="s">
        <v>26</v>
      </c>
      <c r="T103" s="94" t="s">
        <v>26</v>
      </c>
      <c r="U103" s="95" t="s">
        <v>26</v>
      </c>
      <c r="V103" s="1074"/>
      <c r="W103" s="563" t="s">
        <v>195</v>
      </c>
      <c r="X103" s="654"/>
      <c r="Y103" s="418">
        <f>Y102-0.02</f>
        <v>0.94</v>
      </c>
      <c r="Z103" s="138">
        <f>($Y103*E103)+SUM($AN$101:AN103)</f>
        <v>270.74</v>
      </c>
      <c r="AA103" s="38" t="s">
        <v>26</v>
      </c>
      <c r="AB103" s="418" t="s">
        <v>26</v>
      </c>
      <c r="AC103" s="38" t="s">
        <v>26</v>
      </c>
      <c r="AD103" s="38" t="s">
        <v>26</v>
      </c>
      <c r="AE103" s="514">
        <v>0.5</v>
      </c>
      <c r="AF103" s="79" t="s">
        <v>26</v>
      </c>
      <c r="AG103" s="79" t="s">
        <v>26</v>
      </c>
      <c r="AH103" s="79" t="s">
        <v>26</v>
      </c>
      <c r="AI103" s="79" t="s">
        <v>26</v>
      </c>
      <c r="AJ103" s="393" t="s">
        <v>26</v>
      </c>
      <c r="AK103" s="394" t="s">
        <v>26</v>
      </c>
      <c r="AL103" s="394" t="s">
        <v>26</v>
      </c>
      <c r="AM103" s="394" t="s">
        <v>26</v>
      </c>
      <c r="AN103" s="394">
        <f t="shared" si="31"/>
        <v>4.9800000000000004</v>
      </c>
      <c r="AO103" s="532"/>
      <c r="AP103" s="532"/>
      <c r="AQ103" s="497"/>
      <c r="AR103" s="1047"/>
      <c r="AS103" s="821"/>
      <c r="AT103" s="30"/>
      <c r="AU103" s="31"/>
    </row>
    <row r="104" spans="1:47" ht="15" thickBot="1" x14ac:dyDescent="0.35">
      <c r="A104" s="1078"/>
      <c r="B104" s="305">
        <v>120</v>
      </c>
      <c r="C104" s="307">
        <v>7.71</v>
      </c>
      <c r="D104" s="307">
        <v>16.420000000000002</v>
      </c>
      <c r="E104" s="307">
        <f>29.6*5</f>
        <v>148</v>
      </c>
      <c r="F104" s="307">
        <f>36.4*5</f>
        <v>182</v>
      </c>
      <c r="G104" s="305">
        <f>488*5</f>
        <v>2440</v>
      </c>
      <c r="H104" s="306">
        <v>11.31</v>
      </c>
      <c r="I104" s="307">
        <v>24.6</v>
      </c>
      <c r="J104" s="307">
        <f>21.2*25</f>
        <v>530</v>
      </c>
      <c r="K104" s="308">
        <f>22.3*25</f>
        <v>557.5</v>
      </c>
      <c r="L104" s="1004">
        <v>16.87</v>
      </c>
      <c r="M104" s="307">
        <f>18.3*50</f>
        <v>915</v>
      </c>
      <c r="N104" s="1007">
        <f>45.7*50</f>
        <v>2285</v>
      </c>
      <c r="O104" s="1004">
        <v>41.4</v>
      </c>
      <c r="P104" s="307">
        <v>0</v>
      </c>
      <c r="Q104" s="1007">
        <f>30.2*50</f>
        <v>1510</v>
      </c>
      <c r="R104" s="312" t="s">
        <v>26</v>
      </c>
      <c r="S104" s="307" t="s">
        <v>26</v>
      </c>
      <c r="T104" s="307">
        <v>0.3</v>
      </c>
      <c r="U104" s="1005">
        <f>2669.17/B104</f>
        <v>22.243083333333335</v>
      </c>
      <c r="V104" s="1085"/>
      <c r="W104" s="662" t="s">
        <v>86</v>
      </c>
      <c r="X104" s="766"/>
      <c r="Y104" s="417">
        <f>Y103</f>
        <v>0.94</v>
      </c>
      <c r="Z104" s="307">
        <f>($Y104*E104)+SUM($AN$101:AN103)</f>
        <v>175.8</v>
      </c>
      <c r="AA104" s="307">
        <f>($Y104*F104)+(0.02*F101)</f>
        <v>192.07999999999998</v>
      </c>
      <c r="AB104" s="417">
        <v>0.48</v>
      </c>
      <c r="AC104" s="307">
        <f>AB104*J104</f>
        <v>254.39999999999998</v>
      </c>
      <c r="AD104" s="586">
        <f>($AB104*K104)+(0.02*K101)</f>
        <v>267.59999999999997</v>
      </c>
      <c r="AE104" s="510">
        <v>0.5</v>
      </c>
      <c r="AF104" s="483">
        <f t="shared" ref="AF104" si="32">$AE104*M104</f>
        <v>457.5</v>
      </c>
      <c r="AG104" s="483">
        <f t="shared" ref="AG104" si="33">$AE104*N104</f>
        <v>1142.5</v>
      </c>
      <c r="AH104" s="483">
        <f>$AE104*P104</f>
        <v>0</v>
      </c>
      <c r="AI104" s="483">
        <f>AE104*Q104</f>
        <v>755</v>
      </c>
      <c r="AJ104" s="387">
        <f>Z104+AC104+AF104+AH104</f>
        <v>887.7</v>
      </c>
      <c r="AK104" s="388">
        <f>AA104+AD104+AG104+AI104</f>
        <v>2357.1799999999998</v>
      </c>
      <c r="AL104" s="388">
        <f>AJ104-AJ101</f>
        <v>-92.300000000000068</v>
      </c>
      <c r="AM104" s="388">
        <f>AK104-AK101</f>
        <v>-92.820000000000164</v>
      </c>
      <c r="AN104" s="388" t="s">
        <v>26</v>
      </c>
      <c r="AO104" s="388">
        <f>(AF104)*10/100/(B104/24)</f>
        <v>9.15</v>
      </c>
      <c r="AP104" s="1006">
        <f>(AF104+AH104)/Z101</f>
        <v>0.46683673469387749</v>
      </c>
      <c r="AQ104" s="388">
        <f>(Z101-Z104)*10/100/(B104/24)</f>
        <v>16.084</v>
      </c>
      <c r="AR104" s="1053">
        <f>(Z101-Z104)</f>
        <v>804.2</v>
      </c>
      <c r="AS104" s="820">
        <f>((AC104+AF104)-AC101)/Z101</f>
        <v>0.72642857142857131</v>
      </c>
      <c r="AT104" s="472">
        <f>AU104/10</f>
        <v>3.8400000000000004E-2</v>
      </c>
      <c r="AU104" s="900">
        <f>((G101+(1750/2.5*(3.5)))-G104)/(1000*(B104/24))</f>
        <v>0.38400000000000001</v>
      </c>
    </row>
    <row r="105" spans="1:47" ht="15" thickTop="1" x14ac:dyDescent="0.3">
      <c r="A105" s="1086" t="s">
        <v>201</v>
      </c>
      <c r="B105" s="567">
        <v>0</v>
      </c>
      <c r="C105" s="1052">
        <v>7.31</v>
      </c>
      <c r="D105" s="569">
        <v>19.93</v>
      </c>
      <c r="E105" s="569">
        <f>40.8*25</f>
        <v>1019.9999999999999</v>
      </c>
      <c r="F105" s="569">
        <f>42.2*25</f>
        <v>1055</v>
      </c>
      <c r="G105" s="567">
        <f>387*5</f>
        <v>1935</v>
      </c>
      <c r="H105" s="1052">
        <v>12.05</v>
      </c>
      <c r="I105" s="569">
        <v>20.55</v>
      </c>
      <c r="J105" s="569">
        <v>0</v>
      </c>
      <c r="K105" s="649">
        <v>0</v>
      </c>
      <c r="L105" s="663" t="s">
        <v>26</v>
      </c>
      <c r="M105" s="664" t="s">
        <v>26</v>
      </c>
      <c r="N105" s="567" t="s">
        <v>26</v>
      </c>
      <c r="O105" s="663" t="s">
        <v>26</v>
      </c>
      <c r="P105" s="664" t="s">
        <v>26</v>
      </c>
      <c r="Q105" s="567" t="s">
        <v>26</v>
      </c>
      <c r="R105" s="663">
        <v>-0.30099999999999999</v>
      </c>
      <c r="S105" s="664">
        <v>-0.64800000000000002</v>
      </c>
      <c r="T105" s="1060">
        <f>R105-S105</f>
        <v>0.34700000000000003</v>
      </c>
      <c r="U105" s="567" t="s">
        <v>26</v>
      </c>
      <c r="V105" s="1073">
        <v>150</v>
      </c>
      <c r="W105" s="563" t="s">
        <v>126</v>
      </c>
      <c r="X105" s="654"/>
      <c r="Y105" s="571">
        <v>0.98</v>
      </c>
      <c r="Z105" s="323">
        <f>($Y105*E105)+AN105</f>
        <v>1019.9999999999999</v>
      </c>
      <c r="AA105" s="323">
        <f>($Y105*F105)+(0.02*F105)</f>
        <v>1055</v>
      </c>
      <c r="AB105" s="405">
        <f>0.48</f>
        <v>0.48</v>
      </c>
      <c r="AC105" s="323">
        <f>AB105*J105</f>
        <v>0</v>
      </c>
      <c r="AD105" s="594">
        <f>(AB105*K105)+(0.02*K105)</f>
        <v>0</v>
      </c>
      <c r="AE105" s="330">
        <v>0.5</v>
      </c>
      <c r="AF105" s="367">
        <v>0</v>
      </c>
      <c r="AG105" s="367">
        <f>(0.1*14*1000)*AE105</f>
        <v>700.00000000000011</v>
      </c>
      <c r="AH105" s="367">
        <v>0</v>
      </c>
      <c r="AI105" s="367">
        <f>(0.1*14*1000)*AE105</f>
        <v>700.00000000000011</v>
      </c>
      <c r="AJ105" s="374">
        <f>Z105+AC105+AF105+AH105</f>
        <v>1019.9999999999999</v>
      </c>
      <c r="AK105" s="331">
        <f>AA105+AD105+AG105+AI105</f>
        <v>2455</v>
      </c>
      <c r="AL105" s="331" t="s">
        <v>26</v>
      </c>
      <c r="AM105" s="331" t="s">
        <v>26</v>
      </c>
      <c r="AN105" s="1061">
        <f t="shared" ref="AN105:AN108" si="34">0.02*E105</f>
        <v>20.399999999999999</v>
      </c>
      <c r="AO105" s="301"/>
      <c r="AP105" s="301"/>
      <c r="AQ105" s="536"/>
      <c r="AR105" s="1049"/>
      <c r="AS105" s="824"/>
      <c r="AT105" s="41"/>
      <c r="AU105" s="44"/>
    </row>
    <row r="106" spans="1:47" x14ac:dyDescent="0.3">
      <c r="A106" s="1076"/>
      <c r="B106" s="623">
        <v>1</v>
      </c>
      <c r="C106" s="1052">
        <v>7.59</v>
      </c>
      <c r="D106" s="569">
        <v>19.600000000000001</v>
      </c>
      <c r="E106" s="569">
        <f>36.5*25</f>
        <v>912.5</v>
      </c>
      <c r="F106" s="569" t="s">
        <v>26</v>
      </c>
      <c r="G106" s="623">
        <f>386*5</f>
        <v>1930</v>
      </c>
      <c r="H106" s="1052" t="s">
        <v>26</v>
      </c>
      <c r="I106" s="569" t="s">
        <v>26</v>
      </c>
      <c r="J106" s="569" t="s">
        <v>26</v>
      </c>
      <c r="K106" s="649" t="s">
        <v>26</v>
      </c>
      <c r="L106" s="650" t="s">
        <v>26</v>
      </c>
      <c r="M106" s="569" t="s">
        <v>26</v>
      </c>
      <c r="N106" s="623" t="s">
        <v>26</v>
      </c>
      <c r="O106" s="650" t="s">
        <v>26</v>
      </c>
      <c r="P106" s="569" t="s">
        <v>26</v>
      </c>
      <c r="Q106" s="623" t="s">
        <v>26</v>
      </c>
      <c r="R106" s="650">
        <f>-187.6/1000</f>
        <v>-0.18759999999999999</v>
      </c>
      <c r="S106" s="569">
        <f>-545.1/1000</f>
        <v>-0.54510000000000003</v>
      </c>
      <c r="T106" s="1059">
        <f>ABS(S106-R106)</f>
        <v>0.35750000000000004</v>
      </c>
      <c r="U106" s="623" t="s">
        <v>26</v>
      </c>
      <c r="V106" s="1074"/>
      <c r="W106" s="563" t="s">
        <v>112</v>
      </c>
      <c r="X106" s="654"/>
      <c r="Y106" s="635">
        <f>Y105-0.02</f>
        <v>0.96</v>
      </c>
      <c r="Z106" s="138">
        <f>($Y106*E106)+SUM($AN$105:AN106)</f>
        <v>914.65</v>
      </c>
      <c r="AA106" s="38" t="s">
        <v>26</v>
      </c>
      <c r="AB106" s="418" t="s">
        <v>26</v>
      </c>
      <c r="AC106" s="38" t="s">
        <v>26</v>
      </c>
      <c r="AD106" s="566" t="s">
        <v>26</v>
      </c>
      <c r="AE106" s="514">
        <v>0.5</v>
      </c>
      <c r="AF106" s="79" t="s">
        <v>26</v>
      </c>
      <c r="AG106" s="79" t="s">
        <v>26</v>
      </c>
      <c r="AH106" s="79" t="s">
        <v>26</v>
      </c>
      <c r="AI106" s="79" t="s">
        <v>26</v>
      </c>
      <c r="AJ106" s="393" t="s">
        <v>26</v>
      </c>
      <c r="AK106" s="394" t="s">
        <v>26</v>
      </c>
      <c r="AL106" s="394" t="s">
        <v>26</v>
      </c>
      <c r="AM106" s="394" t="s">
        <v>26</v>
      </c>
      <c r="AN106" s="334">
        <f t="shared" si="34"/>
        <v>18.25</v>
      </c>
      <c r="AO106" s="532"/>
      <c r="AP106" s="532"/>
      <c r="AQ106" s="497"/>
      <c r="AR106" s="1047"/>
      <c r="AS106" s="818"/>
      <c r="AT106" s="41"/>
      <c r="AU106" s="44"/>
    </row>
    <row r="107" spans="1:47" x14ac:dyDescent="0.3">
      <c r="A107" s="1077"/>
      <c r="B107" s="95">
        <v>20</v>
      </c>
      <c r="C107" s="1051">
        <v>7.82</v>
      </c>
      <c r="D107" s="570">
        <v>18.18</v>
      </c>
      <c r="E107" s="94">
        <f>26.6*25</f>
        <v>665</v>
      </c>
      <c r="F107" s="94" t="s">
        <v>26</v>
      </c>
      <c r="G107" s="95">
        <f>250*5</f>
        <v>1250</v>
      </c>
      <c r="H107" s="1051" t="s">
        <v>26</v>
      </c>
      <c r="I107" s="94" t="s">
        <v>26</v>
      </c>
      <c r="J107" s="94" t="s">
        <v>26</v>
      </c>
      <c r="K107" s="96" t="s">
        <v>26</v>
      </c>
      <c r="L107" s="27" t="s">
        <v>26</v>
      </c>
      <c r="M107" s="94" t="s">
        <v>26</v>
      </c>
      <c r="N107" s="95" t="s">
        <v>26</v>
      </c>
      <c r="O107" s="27" t="s">
        <v>26</v>
      </c>
      <c r="P107" s="94" t="s">
        <v>26</v>
      </c>
      <c r="Q107" s="95" t="s">
        <v>26</v>
      </c>
      <c r="R107" s="27">
        <f>-376.6/1000</f>
        <v>-0.37660000000000005</v>
      </c>
      <c r="S107" s="94">
        <f>R107-T107</f>
        <v>-0.73660000000000003</v>
      </c>
      <c r="T107" s="94">
        <v>0.36</v>
      </c>
      <c r="U107" s="95" t="s">
        <v>26</v>
      </c>
      <c r="V107" s="1074"/>
      <c r="W107" s="563" t="s">
        <v>197</v>
      </c>
      <c r="X107" s="654"/>
      <c r="Y107" s="572">
        <f>Y106-0.02</f>
        <v>0.94</v>
      </c>
      <c r="Z107" s="138">
        <f>($Y107*E107)+SUM($AN$105:AN107)</f>
        <v>677.05</v>
      </c>
      <c r="AA107" s="138" t="s">
        <v>26</v>
      </c>
      <c r="AB107" s="419" t="s">
        <v>26</v>
      </c>
      <c r="AC107" s="138" t="s">
        <v>26</v>
      </c>
      <c r="AD107" s="138" t="s">
        <v>26</v>
      </c>
      <c r="AE107" s="333">
        <v>0.5</v>
      </c>
      <c r="AF107" s="325" t="s">
        <v>26</v>
      </c>
      <c r="AG107" s="325" t="s">
        <v>26</v>
      </c>
      <c r="AH107" s="325" t="s">
        <v>26</v>
      </c>
      <c r="AI107" s="325" t="s">
        <v>26</v>
      </c>
      <c r="AJ107" s="376" t="s">
        <v>26</v>
      </c>
      <c r="AK107" s="334" t="s">
        <v>26</v>
      </c>
      <c r="AL107" s="334" t="s">
        <v>26</v>
      </c>
      <c r="AM107" s="334" t="s">
        <v>26</v>
      </c>
      <c r="AN107" s="334">
        <f t="shared" si="34"/>
        <v>13.3</v>
      </c>
      <c r="AO107" s="302"/>
      <c r="AP107" s="302"/>
      <c r="AQ107" s="535"/>
      <c r="AR107" s="1048"/>
      <c r="AS107" s="819"/>
      <c r="AT107" s="30"/>
      <c r="AU107" s="31"/>
    </row>
    <row r="108" spans="1:47" x14ac:dyDescent="0.3">
      <c r="A108" s="1077"/>
      <c r="B108" s="95">
        <v>91</v>
      </c>
      <c r="C108" s="1051">
        <v>7.58</v>
      </c>
      <c r="D108" s="94">
        <v>15.76</v>
      </c>
      <c r="E108" s="94">
        <f>19.1*10</f>
        <v>191</v>
      </c>
      <c r="F108" s="94" t="s">
        <v>26</v>
      </c>
      <c r="G108" s="95">
        <f>262*5</f>
        <v>1310</v>
      </c>
      <c r="H108" s="1051" t="s">
        <v>26</v>
      </c>
      <c r="I108" s="94" t="s">
        <v>26</v>
      </c>
      <c r="J108" s="94" t="s">
        <v>26</v>
      </c>
      <c r="K108" s="96" t="s">
        <v>26</v>
      </c>
      <c r="L108" s="27" t="s">
        <v>26</v>
      </c>
      <c r="M108" s="94" t="s">
        <v>26</v>
      </c>
      <c r="N108" s="95" t="s">
        <v>26</v>
      </c>
      <c r="O108" s="27" t="s">
        <v>26</v>
      </c>
      <c r="P108" s="94" t="s">
        <v>26</v>
      </c>
      <c r="Q108" s="95" t="s">
        <v>26</v>
      </c>
      <c r="R108" s="27">
        <f>-364/1000</f>
        <v>-0.36399999999999999</v>
      </c>
      <c r="S108" s="94">
        <f>-709/1000</f>
        <v>-0.70899999999999996</v>
      </c>
      <c r="T108" s="1062">
        <f>R108-S108</f>
        <v>0.34499999999999997</v>
      </c>
      <c r="U108" s="95" t="s">
        <v>26</v>
      </c>
      <c r="V108" s="1074"/>
      <c r="W108" s="563" t="s">
        <v>195</v>
      </c>
      <c r="X108" s="654"/>
      <c r="Y108" s="418">
        <f>Y107-0.02</f>
        <v>0.91999999999999993</v>
      </c>
      <c r="Z108" s="138">
        <f>($Y108*E108)+SUM($AN$105:AN108)</f>
        <v>231.49</v>
      </c>
      <c r="AA108" s="38" t="s">
        <v>26</v>
      </c>
      <c r="AB108" s="418" t="s">
        <v>26</v>
      </c>
      <c r="AC108" s="38" t="s">
        <v>26</v>
      </c>
      <c r="AD108" s="38" t="s">
        <v>26</v>
      </c>
      <c r="AE108" s="514">
        <v>0.5</v>
      </c>
      <c r="AF108" s="79" t="s">
        <v>26</v>
      </c>
      <c r="AG108" s="79" t="s">
        <v>26</v>
      </c>
      <c r="AH108" s="79" t="s">
        <v>26</v>
      </c>
      <c r="AI108" s="79" t="s">
        <v>26</v>
      </c>
      <c r="AJ108" s="393" t="s">
        <v>26</v>
      </c>
      <c r="AK108" s="394" t="s">
        <v>26</v>
      </c>
      <c r="AL108" s="394" t="s">
        <v>26</v>
      </c>
      <c r="AM108" s="394" t="s">
        <v>26</v>
      </c>
      <c r="AN108" s="394">
        <f t="shared" si="34"/>
        <v>3.8200000000000003</v>
      </c>
      <c r="AO108" s="532"/>
      <c r="AP108" s="532"/>
      <c r="AQ108" s="497"/>
      <c r="AR108" s="1047"/>
      <c r="AS108" s="821"/>
      <c r="AT108" s="30"/>
      <c r="AU108" s="31"/>
    </row>
    <row r="109" spans="1:47" ht="15" thickBot="1" x14ac:dyDescent="0.35">
      <c r="A109" s="1078"/>
      <c r="B109" s="305">
        <v>120</v>
      </c>
      <c r="C109" s="307">
        <v>7.46</v>
      </c>
      <c r="D109" s="307">
        <v>15.43</v>
      </c>
      <c r="E109" s="307">
        <f>22.5*5</f>
        <v>112.5</v>
      </c>
      <c r="F109" s="307">
        <f>30.7*5</f>
        <v>153.5</v>
      </c>
      <c r="G109" s="305">
        <f>309*5</f>
        <v>1545</v>
      </c>
      <c r="H109" s="306">
        <v>11.95</v>
      </c>
      <c r="I109" s="307">
        <v>26.7</v>
      </c>
      <c r="J109" s="307">
        <f>20.7*25</f>
        <v>517.5</v>
      </c>
      <c r="K109" s="308">
        <f>21.1*25</f>
        <v>527.5</v>
      </c>
      <c r="L109" s="1004">
        <v>15.26</v>
      </c>
      <c r="M109" s="307">
        <f>20.8*50</f>
        <v>1040</v>
      </c>
      <c r="N109" s="1007">
        <f>48.2*50</f>
        <v>2410</v>
      </c>
      <c r="O109" s="1004">
        <v>39.9</v>
      </c>
      <c r="P109" s="307">
        <v>0</v>
      </c>
      <c r="Q109" s="1007">
        <f>30.3*50</f>
        <v>1515</v>
      </c>
      <c r="R109" s="312" t="s">
        <v>26</v>
      </c>
      <c r="S109" s="307" t="s">
        <v>26</v>
      </c>
      <c r="T109" s="307">
        <v>0.4</v>
      </c>
      <c r="U109" s="1005">
        <f>2968.18/B109</f>
        <v>24.734833333333331</v>
      </c>
      <c r="V109" s="1085"/>
      <c r="W109" s="662" t="s">
        <v>86</v>
      </c>
      <c r="X109" s="766"/>
      <c r="Y109" s="417">
        <f>Y108</f>
        <v>0.91999999999999993</v>
      </c>
      <c r="Z109" s="307">
        <f>($Y109*E109)+SUM($AN$105:AN108)</f>
        <v>159.26999999999998</v>
      </c>
      <c r="AA109" s="307">
        <f>($Y109*F109)+(0.02*F105)</f>
        <v>162.32</v>
      </c>
      <c r="AB109" s="417">
        <v>0.48</v>
      </c>
      <c r="AC109" s="307">
        <f>AB109*J109</f>
        <v>248.39999999999998</v>
      </c>
      <c r="AD109" s="586">
        <f>($AB109*K109)+(0.02*K105)</f>
        <v>253.2</v>
      </c>
      <c r="AE109" s="510">
        <v>0.5</v>
      </c>
      <c r="AF109" s="483">
        <f t="shared" ref="AF109" si="35">$AE109*M109</f>
        <v>520</v>
      </c>
      <c r="AG109" s="483">
        <f t="shared" ref="AG109" si="36">$AE109*N109</f>
        <v>1205</v>
      </c>
      <c r="AH109" s="483">
        <f>$AE109*P109</f>
        <v>0</v>
      </c>
      <c r="AI109" s="483">
        <f>AE109*Q109</f>
        <v>757.5</v>
      </c>
      <c r="AJ109" s="387">
        <f>Z109+AC109+AF109+AH109</f>
        <v>927.67</v>
      </c>
      <c r="AK109" s="388">
        <f>AA109+AD109+AG109+AI109</f>
        <v>2378.02</v>
      </c>
      <c r="AL109" s="388">
        <f>AJ109-AJ105</f>
        <v>-92.329999999999927</v>
      </c>
      <c r="AM109" s="388">
        <f>AK109-AK105</f>
        <v>-76.980000000000018</v>
      </c>
      <c r="AN109" s="388" t="s">
        <v>26</v>
      </c>
      <c r="AO109" s="388">
        <f>(AF109)*10/100/(B109/24)</f>
        <v>10.4</v>
      </c>
      <c r="AP109" s="1006">
        <f>(AF109+AH109)/Z105</f>
        <v>0.50980392156862753</v>
      </c>
      <c r="AQ109" s="388">
        <f>(Z105-Z109)*10/100/(B109/24)</f>
        <v>17.214599999999997</v>
      </c>
      <c r="AR109" s="1053">
        <f>(Z105-Z109)</f>
        <v>860.7299999999999</v>
      </c>
      <c r="AS109" s="820">
        <f>((AC109+AF109)-AC105)/Z105</f>
        <v>0.75333333333333341</v>
      </c>
      <c r="AT109" s="472">
        <f>AU109/10</f>
        <v>5.6799999999999996E-2</v>
      </c>
      <c r="AU109" s="900">
        <f>((G105+(1750/2.5*(3.5)))-G109)/(1000*(B109/24))</f>
        <v>0.56799999999999995</v>
      </c>
    </row>
    <row r="110" spans="1:47" ht="15" thickTop="1" x14ac:dyDescent="0.3"/>
  </sheetData>
  <mergeCells count="62">
    <mergeCell ref="A105:A109"/>
    <mergeCell ref="V105:V109"/>
    <mergeCell ref="A101:A104"/>
    <mergeCell ref="V101:V104"/>
    <mergeCell ref="B11:B12"/>
    <mergeCell ref="V70:V73"/>
    <mergeCell ref="A58:A61"/>
    <mergeCell ref="A74:A78"/>
    <mergeCell ref="V74:V78"/>
    <mergeCell ref="V66:V69"/>
    <mergeCell ref="A62:A65"/>
    <mergeCell ref="V62:V65"/>
    <mergeCell ref="A66:A69"/>
    <mergeCell ref="A97:A100"/>
    <mergeCell ref="V97:V100"/>
    <mergeCell ref="A93:A96"/>
    <mergeCell ref="V50:V53"/>
    <mergeCell ref="V28:V30"/>
    <mergeCell ref="A50:A53"/>
    <mergeCell ref="A21:A23"/>
    <mergeCell ref="A14:A20"/>
    <mergeCell ref="V24:V27"/>
    <mergeCell ref="V14:V20"/>
    <mergeCell ref="A45:A49"/>
    <mergeCell ref="V32:V35"/>
    <mergeCell ref="A24:A27"/>
    <mergeCell ref="A40:A44"/>
    <mergeCell ref="V40:V44"/>
    <mergeCell ref="A36:A39"/>
    <mergeCell ref="AT9:AU10"/>
    <mergeCell ref="V45:V49"/>
    <mergeCell ref="W10:W12"/>
    <mergeCell ref="L10:N10"/>
    <mergeCell ref="H10:K10"/>
    <mergeCell ref="Y9:AS9"/>
    <mergeCell ref="AJ10:AS10"/>
    <mergeCell ref="AE10:AI10"/>
    <mergeCell ref="Y10:AA10"/>
    <mergeCell ref="AB10:AD10"/>
    <mergeCell ref="O10:Q10"/>
    <mergeCell ref="V36:V39"/>
    <mergeCell ref="R10:U10"/>
    <mergeCell ref="K3:M4"/>
    <mergeCell ref="K6:M7"/>
    <mergeCell ref="A32:A35"/>
    <mergeCell ref="A28:A30"/>
    <mergeCell ref="B28:B30"/>
    <mergeCell ref="A10:B10"/>
    <mergeCell ref="A11:A12"/>
    <mergeCell ref="C10:G10"/>
    <mergeCell ref="V93:V96"/>
    <mergeCell ref="A81:A84"/>
    <mergeCell ref="A54:A57"/>
    <mergeCell ref="V54:V57"/>
    <mergeCell ref="V81:V84"/>
    <mergeCell ref="A89:A92"/>
    <mergeCell ref="V89:V92"/>
    <mergeCell ref="A85:A88"/>
    <mergeCell ref="V85:V88"/>
    <mergeCell ref="A79:A80"/>
    <mergeCell ref="V79:V80"/>
    <mergeCell ref="A70:A73"/>
  </mergeCells>
  <pageMargins left="0.7" right="0.7" top="0.75" bottom="0.75" header="0.3" footer="0.3"/>
  <pageSetup paperSize="9" scale="49" orientation="landscape" r:id="rId1"/>
  <ignoredErrors>
    <ignoredError sqref="AN40"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107"/>
  <sheetViews>
    <sheetView zoomScale="60" zoomScaleNormal="60" workbookViewId="0">
      <pane xSplit="2" ySplit="12" topLeftCell="C13" activePane="bottomRight" state="frozen"/>
      <selection pane="topRight" activeCell="C1" sqref="C1"/>
      <selection pane="bottomLeft" activeCell="A12" sqref="A12"/>
      <selection pane="bottomRight" activeCell="R102" sqref="R102"/>
    </sheetView>
  </sheetViews>
  <sheetFormatPr baseColWidth="10" defaultRowHeight="14.4" x14ac:dyDescent="0.3"/>
  <cols>
    <col min="1" max="1" width="10.6640625" customWidth="1"/>
    <col min="2" max="2" width="13.109375" customWidth="1"/>
    <col min="3" max="3" width="8.6640625" customWidth="1"/>
    <col min="4" max="5" width="7.88671875" bestFit="1" customWidth="1"/>
    <col min="6" max="6" width="7.88671875" customWidth="1"/>
    <col min="7" max="7" width="6.33203125" bestFit="1" customWidth="1"/>
    <col min="8" max="8" width="5" bestFit="1" customWidth="1"/>
    <col min="9" max="9" width="7.6640625" bestFit="1" customWidth="1"/>
    <col min="10" max="10" width="7.6640625" customWidth="1"/>
    <col min="11" max="11" width="11.6640625" bestFit="1" customWidth="1"/>
    <col min="12" max="12" width="7.6640625" bestFit="1" customWidth="1"/>
    <col min="13" max="13" width="7.6640625" customWidth="1"/>
    <col min="14" max="14" width="7.88671875" bestFit="1" customWidth="1"/>
    <col min="15" max="15" width="7.6640625" bestFit="1" customWidth="1"/>
    <col min="16" max="16" width="7.6640625" customWidth="1"/>
    <col min="17" max="17" width="7.88671875" bestFit="1" customWidth="1"/>
    <col min="18" max="19" width="12.88671875" bestFit="1" customWidth="1"/>
    <col min="20" max="20" width="12.88671875" customWidth="1"/>
    <col min="22" max="22" width="12" bestFit="1" customWidth="1"/>
    <col min="23" max="23" width="58.5546875" customWidth="1"/>
    <col min="24" max="24" width="6.33203125" customWidth="1"/>
    <col min="25" max="43" width="11.44140625" customWidth="1"/>
    <col min="44" max="47" width="14.109375" customWidth="1"/>
  </cols>
  <sheetData>
    <row r="1" spans="1:49" ht="14.1" customHeight="1" x14ac:dyDescent="0.35">
      <c r="A1" s="1" t="s">
        <v>39</v>
      </c>
      <c r="I1" t="s">
        <v>33</v>
      </c>
      <c r="S1" s="248" t="s">
        <v>91</v>
      </c>
      <c r="T1">
        <f>1750/2.5*(3)</f>
        <v>2100</v>
      </c>
      <c r="AJ1" s="1"/>
      <c r="AK1" s="1"/>
      <c r="AL1" s="1"/>
      <c r="AM1" s="1"/>
      <c r="AN1" s="1"/>
      <c r="AO1" s="1"/>
      <c r="AP1" s="250"/>
      <c r="AQ1" s="250"/>
      <c r="AR1" s="250"/>
      <c r="AS1" s="250"/>
      <c r="AT1" s="250"/>
      <c r="AU1" s="250"/>
    </row>
    <row r="2" spans="1:49" ht="14.1" customHeight="1" x14ac:dyDescent="0.35">
      <c r="A2" t="s">
        <v>17</v>
      </c>
      <c r="C2" t="s">
        <v>29</v>
      </c>
      <c r="D2" t="s">
        <v>20</v>
      </c>
      <c r="I2" s="208" t="s">
        <v>32</v>
      </c>
      <c r="J2" t="s">
        <v>34</v>
      </c>
      <c r="S2" s="248" t="s">
        <v>88</v>
      </c>
      <c r="T2">
        <f>(1750/2.5)*(3+1)</f>
        <v>2800</v>
      </c>
      <c r="AJ2" s="1"/>
      <c r="AK2" s="1"/>
      <c r="AL2" s="1"/>
      <c r="AM2" s="1"/>
      <c r="AN2" s="1"/>
      <c r="AO2" s="1"/>
      <c r="AP2" s="250"/>
      <c r="AQ2" s="250"/>
      <c r="AR2" s="250"/>
      <c r="AS2" s="250"/>
      <c r="AT2" s="250"/>
      <c r="AU2" s="250"/>
    </row>
    <row r="3" spans="1:49" ht="16.5" customHeight="1" thickBot="1" x14ac:dyDescent="0.4">
      <c r="A3" t="s">
        <v>18</v>
      </c>
      <c r="C3" t="s">
        <v>29</v>
      </c>
      <c r="D3" t="s">
        <v>20</v>
      </c>
      <c r="I3" s="644"/>
      <c r="K3" s="1089" t="s">
        <v>134</v>
      </c>
      <c r="L3" s="1089"/>
      <c r="M3" s="1089"/>
      <c r="S3" s="248" t="s">
        <v>104</v>
      </c>
      <c r="T3">
        <f>1750/2.5*(5)</f>
        <v>3500</v>
      </c>
      <c r="AJ3" s="266"/>
      <c r="AK3" s="266"/>
      <c r="AL3" s="266"/>
      <c r="AM3" s="266"/>
      <c r="AN3" s="266"/>
      <c r="AO3" s="266"/>
      <c r="AP3" s="251"/>
      <c r="AQ3" s="251"/>
      <c r="AR3" s="251"/>
      <c r="AS3" s="251"/>
      <c r="AT3" s="254"/>
      <c r="AU3" s="254"/>
      <c r="AV3" t="s">
        <v>131</v>
      </c>
      <c r="AW3" t="s">
        <v>132</v>
      </c>
    </row>
    <row r="4" spans="1:49" ht="18" customHeight="1" thickTop="1" x14ac:dyDescent="0.3">
      <c r="A4" t="s">
        <v>19</v>
      </c>
      <c r="C4" t="s">
        <v>29</v>
      </c>
      <c r="D4" t="s">
        <v>20</v>
      </c>
      <c r="K4" s="1089"/>
      <c r="L4" s="1089"/>
      <c r="M4" s="1089"/>
      <c r="AP4" s="251"/>
      <c r="AQ4" s="251"/>
      <c r="AR4" s="68"/>
      <c r="AS4" s="68"/>
      <c r="AT4" s="68"/>
      <c r="AU4" s="68"/>
      <c r="AV4" t="s">
        <v>128</v>
      </c>
      <c r="AW4" s="603">
        <v>-1.798827916376932E-2</v>
      </c>
    </row>
    <row r="5" spans="1:49" ht="14.25" customHeight="1" x14ac:dyDescent="0.3">
      <c r="A5" t="s">
        <v>24</v>
      </c>
      <c r="C5">
        <v>150</v>
      </c>
      <c r="D5" t="s">
        <v>23</v>
      </c>
      <c r="O5" s="311" t="s">
        <v>98</v>
      </c>
      <c r="P5" s="311"/>
      <c r="Q5" s="311"/>
      <c r="S5" s="448" t="s">
        <v>113</v>
      </c>
      <c r="T5" s="448"/>
      <c r="AJ5" s="265"/>
      <c r="AP5" s="252"/>
      <c r="AQ5" s="252"/>
      <c r="AR5" s="252"/>
      <c r="AS5" s="252"/>
      <c r="AT5" s="252"/>
      <c r="AU5" s="252"/>
      <c r="AV5" t="s">
        <v>129</v>
      </c>
      <c r="AW5" s="602">
        <v>-3.9205105616263669E-2</v>
      </c>
    </row>
    <row r="6" spans="1:49" ht="16.5" customHeight="1" thickBot="1" x14ac:dyDescent="0.35">
      <c r="A6" t="s">
        <v>28</v>
      </c>
      <c r="C6" t="s">
        <v>29</v>
      </c>
      <c r="I6" s="643"/>
      <c r="K6" s="1089" t="s">
        <v>135</v>
      </c>
      <c r="L6" s="1089"/>
      <c r="M6" s="1089"/>
      <c r="AP6" s="253"/>
      <c r="AQ6" s="253"/>
      <c r="AR6" s="253"/>
      <c r="AS6" s="253"/>
      <c r="AT6" s="255"/>
      <c r="AU6" s="255"/>
      <c r="AV6" t="s">
        <v>93</v>
      </c>
      <c r="AW6" s="602">
        <v>-4.8869626837295489E-2</v>
      </c>
    </row>
    <row r="7" spans="1:49" ht="14.1" customHeight="1" thickTop="1" x14ac:dyDescent="0.3">
      <c r="K7" s="1089"/>
      <c r="L7" s="1089"/>
      <c r="M7" s="1089"/>
      <c r="O7" s="288" t="s">
        <v>99</v>
      </c>
      <c r="P7" s="288"/>
      <c r="Q7" s="288"/>
      <c r="S7" s="565" t="s">
        <v>114</v>
      </c>
      <c r="T7" s="565"/>
      <c r="AP7" s="253"/>
      <c r="AQ7" s="253"/>
      <c r="AR7" s="253"/>
      <c r="AS7" s="253"/>
      <c r="AT7" s="68"/>
      <c r="AU7" s="68"/>
      <c r="AV7" t="s">
        <v>130</v>
      </c>
      <c r="AW7" s="602">
        <v>-0.03</v>
      </c>
    </row>
    <row r="8" spans="1:49" ht="14.1" customHeight="1" thickBot="1" x14ac:dyDescent="0.35"/>
    <row r="9" spans="1:49" ht="15" thickBot="1" x14ac:dyDescent="0.35">
      <c r="Y9" s="1114" t="s">
        <v>69</v>
      </c>
      <c r="Z9" s="1115"/>
      <c r="AA9" s="1115"/>
      <c r="AB9" s="1115"/>
      <c r="AC9" s="1115"/>
      <c r="AD9" s="1115"/>
      <c r="AE9" s="1115"/>
      <c r="AF9" s="1115"/>
      <c r="AG9" s="1115"/>
      <c r="AH9" s="1115"/>
      <c r="AI9" s="1115"/>
      <c r="AJ9" s="1115"/>
      <c r="AK9" s="1115"/>
      <c r="AL9" s="1115"/>
      <c r="AM9" s="1115"/>
      <c r="AN9" s="1115"/>
      <c r="AO9" s="1115"/>
      <c r="AP9" s="1115"/>
      <c r="AQ9" s="1115"/>
      <c r="AR9" s="1115"/>
      <c r="AS9" s="841"/>
      <c r="AT9" s="1102" t="s">
        <v>138</v>
      </c>
      <c r="AU9" s="1103"/>
    </row>
    <row r="10" spans="1:49" ht="15" thickBot="1" x14ac:dyDescent="0.35">
      <c r="A10" s="1161" t="s">
        <v>8</v>
      </c>
      <c r="B10" s="1164"/>
      <c r="C10" s="1170" t="s">
        <v>9</v>
      </c>
      <c r="D10" s="1162"/>
      <c r="E10" s="1162"/>
      <c r="F10" s="1163"/>
      <c r="G10" s="1164"/>
      <c r="H10" s="1161" t="s">
        <v>10</v>
      </c>
      <c r="I10" s="1162"/>
      <c r="J10" s="1163"/>
      <c r="K10" s="1164"/>
      <c r="L10" s="1160" t="s">
        <v>11</v>
      </c>
      <c r="M10" s="1156"/>
      <c r="N10" s="1159"/>
      <c r="O10" s="1155" t="s">
        <v>12</v>
      </c>
      <c r="P10" s="1156"/>
      <c r="Q10" s="1157"/>
      <c r="R10" s="1155" t="s">
        <v>16</v>
      </c>
      <c r="S10" s="1158"/>
      <c r="T10" s="1157"/>
      <c r="U10" s="1159"/>
      <c r="V10" s="210" t="s">
        <v>21</v>
      </c>
      <c r="W10" s="1106" t="s">
        <v>31</v>
      </c>
      <c r="X10" s="550"/>
      <c r="Y10" s="1121" t="s">
        <v>72</v>
      </c>
      <c r="Z10" s="1119"/>
      <c r="AA10" s="1119"/>
      <c r="AB10" s="1118" t="s">
        <v>71</v>
      </c>
      <c r="AC10" s="1119"/>
      <c r="AD10" s="1120"/>
      <c r="AE10" s="1119" t="s">
        <v>70</v>
      </c>
      <c r="AF10" s="1119"/>
      <c r="AG10" s="1119"/>
      <c r="AH10" s="1119"/>
      <c r="AI10" s="1119"/>
      <c r="AJ10" s="1171" t="s">
        <v>87</v>
      </c>
      <c r="AK10" s="1172"/>
      <c r="AL10" s="1172"/>
      <c r="AM10" s="1172"/>
      <c r="AN10" s="1172"/>
      <c r="AO10" s="1172"/>
      <c r="AP10" s="1172"/>
      <c r="AQ10" s="1172"/>
      <c r="AR10" s="1172"/>
      <c r="AS10" s="1173"/>
      <c r="AT10" s="1104"/>
      <c r="AU10" s="1105"/>
    </row>
    <row r="11" spans="1:49" ht="44.4" x14ac:dyDescent="0.3">
      <c r="A11" s="1098" t="s">
        <v>0</v>
      </c>
      <c r="B11" s="1138" t="s">
        <v>1</v>
      </c>
      <c r="C11" s="1174" t="s">
        <v>2</v>
      </c>
      <c r="D11" s="711" t="s">
        <v>3</v>
      </c>
      <c r="E11" s="3" t="s">
        <v>5</v>
      </c>
      <c r="F11" s="5" t="s">
        <v>58</v>
      </c>
      <c r="G11" s="713" t="s">
        <v>6</v>
      </c>
      <c r="H11" s="1098" t="s">
        <v>2</v>
      </c>
      <c r="I11" s="3" t="s">
        <v>3</v>
      </c>
      <c r="J11" s="3" t="s">
        <v>5</v>
      </c>
      <c r="K11" s="713" t="s">
        <v>58</v>
      </c>
      <c r="L11" s="711" t="s">
        <v>3</v>
      </c>
      <c r="M11" s="3" t="s">
        <v>5</v>
      </c>
      <c r="N11" s="13" t="s">
        <v>58</v>
      </c>
      <c r="O11" s="19" t="s">
        <v>3</v>
      </c>
      <c r="P11" s="3" t="s">
        <v>5</v>
      </c>
      <c r="Q11" s="5" t="s">
        <v>58</v>
      </c>
      <c r="R11" s="19" t="s">
        <v>13</v>
      </c>
      <c r="S11" s="3" t="s">
        <v>14</v>
      </c>
      <c r="T11" s="5" t="s">
        <v>50</v>
      </c>
      <c r="U11" s="13" t="s">
        <v>108</v>
      </c>
      <c r="V11" s="22" t="s">
        <v>22</v>
      </c>
      <c r="W11" s="1165"/>
      <c r="X11" s="550"/>
      <c r="Y11" s="200" t="s">
        <v>63</v>
      </c>
      <c r="Z11" s="199" t="s">
        <v>67</v>
      </c>
      <c r="AA11" s="735" t="s">
        <v>58</v>
      </c>
      <c r="AB11" s="754" t="s">
        <v>64</v>
      </c>
      <c r="AC11" s="199" t="s">
        <v>68</v>
      </c>
      <c r="AD11" s="755" t="s">
        <v>73</v>
      </c>
      <c r="AE11" s="791" t="s">
        <v>65</v>
      </c>
      <c r="AF11" s="199" t="s">
        <v>74</v>
      </c>
      <c r="AG11" s="199" t="s">
        <v>77</v>
      </c>
      <c r="AH11" s="199" t="s">
        <v>75</v>
      </c>
      <c r="AI11" s="735" t="s">
        <v>78</v>
      </c>
      <c r="AJ11" s="827" t="s">
        <v>76</v>
      </c>
      <c r="AK11" s="828" t="s">
        <v>58</v>
      </c>
      <c r="AL11" s="829" t="s">
        <v>84</v>
      </c>
      <c r="AM11" s="829" t="s">
        <v>139</v>
      </c>
      <c r="AN11" s="829" t="s">
        <v>106</v>
      </c>
      <c r="AO11" s="830" t="s">
        <v>81</v>
      </c>
      <c r="AP11" s="830" t="s">
        <v>81</v>
      </c>
      <c r="AQ11" s="830" t="s">
        <v>80</v>
      </c>
      <c r="AR11" s="830" t="s">
        <v>80</v>
      </c>
      <c r="AS11" s="831" t="s">
        <v>141</v>
      </c>
      <c r="AT11" s="890" t="s">
        <v>109</v>
      </c>
      <c r="AU11" s="891" t="s">
        <v>109</v>
      </c>
    </row>
    <row r="12" spans="1:49" ht="16.5" customHeight="1" thickBot="1" x14ac:dyDescent="0.35">
      <c r="A12" s="1099"/>
      <c r="B12" s="1139"/>
      <c r="C12" s="1175"/>
      <c r="D12" s="767" t="s">
        <v>4</v>
      </c>
      <c r="E12" s="715" t="s">
        <v>7</v>
      </c>
      <c r="F12" s="768"/>
      <c r="G12" s="716" t="s">
        <v>7</v>
      </c>
      <c r="H12" s="1099"/>
      <c r="I12" s="715" t="s">
        <v>4</v>
      </c>
      <c r="J12" s="715" t="s">
        <v>7</v>
      </c>
      <c r="K12" s="716" t="s">
        <v>7</v>
      </c>
      <c r="L12" s="718" t="s">
        <v>4</v>
      </c>
      <c r="M12" s="11" t="s">
        <v>7</v>
      </c>
      <c r="N12" s="14" t="s">
        <v>7</v>
      </c>
      <c r="O12" s="20" t="s">
        <v>4</v>
      </c>
      <c r="P12" s="11" t="s">
        <v>7</v>
      </c>
      <c r="Q12" s="12" t="s">
        <v>7</v>
      </c>
      <c r="R12" s="20" t="s">
        <v>15</v>
      </c>
      <c r="S12" s="11" t="s">
        <v>15</v>
      </c>
      <c r="T12" s="12" t="s">
        <v>51</v>
      </c>
      <c r="U12" s="14" t="s">
        <v>25</v>
      </c>
      <c r="V12" s="23" t="s">
        <v>23</v>
      </c>
      <c r="W12" s="1166"/>
      <c r="X12" s="550"/>
      <c r="Y12" s="202" t="s">
        <v>66</v>
      </c>
      <c r="Z12" s="203" t="s">
        <v>62</v>
      </c>
      <c r="AA12" s="429" t="s">
        <v>62</v>
      </c>
      <c r="AB12" s="793" t="s">
        <v>66</v>
      </c>
      <c r="AC12" s="203" t="s">
        <v>62</v>
      </c>
      <c r="AD12" s="794" t="s">
        <v>62</v>
      </c>
      <c r="AE12" s="792" t="s">
        <v>66</v>
      </c>
      <c r="AF12" s="203" t="s">
        <v>62</v>
      </c>
      <c r="AG12" s="203" t="s">
        <v>62</v>
      </c>
      <c r="AH12" s="203" t="s">
        <v>62</v>
      </c>
      <c r="AI12" s="429" t="s">
        <v>62</v>
      </c>
      <c r="AJ12" s="832" t="s">
        <v>62</v>
      </c>
      <c r="AK12" s="833" t="s">
        <v>62</v>
      </c>
      <c r="AL12" s="833" t="s">
        <v>62</v>
      </c>
      <c r="AM12" s="833" t="s">
        <v>62</v>
      </c>
      <c r="AN12" s="833" t="s">
        <v>62</v>
      </c>
      <c r="AO12" s="203" t="s">
        <v>107</v>
      </c>
      <c r="AP12" s="203" t="s">
        <v>79</v>
      </c>
      <c r="AQ12" s="203" t="s">
        <v>107</v>
      </c>
      <c r="AR12" s="203" t="s">
        <v>7</v>
      </c>
      <c r="AS12" s="204" t="s">
        <v>79</v>
      </c>
      <c r="AT12" s="826" t="s">
        <v>133</v>
      </c>
      <c r="AU12" s="763" t="s">
        <v>90</v>
      </c>
    </row>
    <row r="13" spans="1:49" s="55" customFormat="1" ht="15" hidden="1" thickBot="1" x14ac:dyDescent="0.35">
      <c r="A13" s="63">
        <v>1</v>
      </c>
      <c r="B13" s="64"/>
      <c r="C13" s="65" t="s">
        <v>27</v>
      </c>
      <c r="D13" s="66"/>
      <c r="E13" s="66"/>
      <c r="F13" s="66"/>
      <c r="G13" s="69"/>
      <c r="H13" s="1167"/>
      <c r="I13" s="1168"/>
      <c r="J13" s="1168"/>
      <c r="K13" s="1169"/>
      <c r="L13" s="1167"/>
      <c r="M13" s="1168"/>
      <c r="N13" s="1169"/>
      <c r="O13" s="1167"/>
      <c r="P13" s="1168"/>
      <c r="Q13" s="1168"/>
      <c r="R13" s="70"/>
      <c r="S13" s="71"/>
      <c r="T13" s="148"/>
      <c r="U13" s="72"/>
      <c r="V13" s="73"/>
      <c r="W13" s="216" t="s">
        <v>40</v>
      </c>
      <c r="X13" s="551"/>
      <c r="Y13" s="352"/>
      <c r="Z13" s="327"/>
      <c r="AA13" s="347"/>
      <c r="AB13" s="795"/>
      <c r="AC13" s="347"/>
      <c r="AD13" s="796"/>
      <c r="AE13" s="357"/>
      <c r="AF13" s="396"/>
      <c r="AG13" s="396"/>
      <c r="AH13" s="397"/>
      <c r="AI13" s="349"/>
      <c r="AJ13" s="769"/>
      <c r="AK13" s="401"/>
      <c r="AL13" s="360"/>
      <c r="AM13" s="360"/>
      <c r="AN13" s="360"/>
      <c r="AO13" s="360"/>
      <c r="AP13" s="355"/>
      <c r="AQ13" s="356"/>
      <c r="AR13" s="358"/>
      <c r="AS13" s="842"/>
      <c r="AT13" s="842"/>
      <c r="AU13" s="539"/>
    </row>
    <row r="14" spans="1:49" ht="15.6" hidden="1" thickTop="1" thickBot="1" x14ac:dyDescent="0.35">
      <c r="A14" s="1090">
        <v>2</v>
      </c>
      <c r="B14" s="39">
        <v>0</v>
      </c>
      <c r="C14" s="133">
        <v>7.16</v>
      </c>
      <c r="D14" s="38">
        <v>54.3</v>
      </c>
      <c r="E14" s="38">
        <v>4990</v>
      </c>
      <c r="F14" s="56" t="s">
        <v>26</v>
      </c>
      <c r="G14" s="39">
        <v>1970</v>
      </c>
      <c r="H14" s="1176"/>
      <c r="I14" s="1177"/>
      <c r="J14" s="1177"/>
      <c r="K14" s="1178"/>
      <c r="L14" s="1176"/>
      <c r="M14" s="1177"/>
      <c r="N14" s="1178"/>
      <c r="O14" s="1176"/>
      <c r="P14" s="1177"/>
      <c r="Q14" s="1177"/>
      <c r="R14" s="41"/>
      <c r="S14" s="42"/>
      <c r="T14" s="43"/>
      <c r="U14" s="44"/>
      <c r="V14" s="1134">
        <v>47</v>
      </c>
      <c r="W14" s="217" t="s">
        <v>40</v>
      </c>
      <c r="X14" s="551"/>
      <c r="Y14" s="328">
        <v>0.5</v>
      </c>
      <c r="Z14" s="323">
        <f t="shared" ref="Z14:Z20" si="0">$Y14*E14</f>
        <v>2495</v>
      </c>
      <c r="AA14" s="237" t="s">
        <v>26</v>
      </c>
      <c r="AB14" s="797">
        <v>0.5</v>
      </c>
      <c r="AC14" s="323">
        <f t="shared" ref="AC14:AC20" si="1">$AB14*J14</f>
        <v>0</v>
      </c>
      <c r="AD14" s="798" t="s">
        <v>26</v>
      </c>
      <c r="AE14" s="329">
        <v>0.4</v>
      </c>
      <c r="AF14" s="323">
        <f>$AE14*M14</f>
        <v>0</v>
      </c>
      <c r="AG14" s="323" t="s">
        <v>26</v>
      </c>
      <c r="AH14" s="329">
        <v>0</v>
      </c>
      <c r="AI14" s="237" t="s">
        <v>26</v>
      </c>
      <c r="AJ14" s="330">
        <f>Z14+AC14+AF14+AH14</f>
        <v>2495</v>
      </c>
      <c r="AK14" s="398" t="s">
        <v>26</v>
      </c>
      <c r="AL14" s="331">
        <f>AJ14-$AJ$14</f>
        <v>0</v>
      </c>
      <c r="AM14" s="331"/>
      <c r="AN14" s="331"/>
      <c r="AO14" s="331"/>
      <c r="AP14" s="167"/>
      <c r="AQ14" s="168"/>
      <c r="AR14" s="169"/>
      <c r="AS14" s="852"/>
      <c r="AT14" s="852"/>
      <c r="AU14" s="540"/>
    </row>
    <row r="15" spans="1:49" ht="15" hidden="1" thickBot="1" x14ac:dyDescent="0.35">
      <c r="A15" s="1091"/>
      <c r="B15" s="10">
        <v>24</v>
      </c>
      <c r="C15" s="134">
        <v>7.98</v>
      </c>
      <c r="D15" s="4">
        <v>46.3</v>
      </c>
      <c r="E15" s="94">
        <v>3540</v>
      </c>
      <c r="F15" s="96" t="s">
        <v>26</v>
      </c>
      <c r="G15" s="95">
        <v>1900</v>
      </c>
      <c r="H15" s="27">
        <v>7.46</v>
      </c>
      <c r="I15" s="94">
        <v>38</v>
      </c>
      <c r="J15" s="94">
        <v>913</v>
      </c>
      <c r="K15" s="95" t="s">
        <v>26</v>
      </c>
      <c r="L15" s="27">
        <v>50.5</v>
      </c>
      <c r="M15" s="187">
        <v>6.91</v>
      </c>
      <c r="N15" s="95">
        <v>0</v>
      </c>
      <c r="O15" s="27">
        <v>50.5</v>
      </c>
      <c r="P15" s="187">
        <v>2.65</v>
      </c>
      <c r="Q15" s="95">
        <v>0</v>
      </c>
      <c r="R15" s="30"/>
      <c r="S15" s="7"/>
      <c r="T15" s="35"/>
      <c r="U15" s="31"/>
      <c r="V15" s="1124"/>
      <c r="W15" s="218"/>
      <c r="X15" s="551"/>
      <c r="Y15" s="220">
        <v>0.5</v>
      </c>
      <c r="Z15" s="138">
        <f t="shared" si="0"/>
        <v>1770</v>
      </c>
      <c r="AA15" s="6" t="s">
        <v>26</v>
      </c>
      <c r="AB15" s="799">
        <v>0.5</v>
      </c>
      <c r="AC15" s="138">
        <f t="shared" si="1"/>
        <v>456.5</v>
      </c>
      <c r="AD15" s="800" t="s">
        <v>26</v>
      </c>
      <c r="AE15" s="118">
        <v>0.4</v>
      </c>
      <c r="AF15" s="138">
        <f>$AE15*M15</f>
        <v>2.7640000000000002</v>
      </c>
      <c r="AG15" s="138" t="s">
        <v>26</v>
      </c>
      <c r="AH15" s="332" t="s">
        <v>26</v>
      </c>
      <c r="AI15" s="6" t="s">
        <v>26</v>
      </c>
      <c r="AJ15" s="333">
        <f>Z15+AC15+AF15</f>
        <v>2229.2640000000001</v>
      </c>
      <c r="AK15" s="21" t="s">
        <v>26</v>
      </c>
      <c r="AL15" s="334">
        <f t="shared" ref="AL15:AL20" si="2">AJ15-$AJ$14</f>
        <v>-265.73599999999988</v>
      </c>
      <c r="AM15" s="334"/>
      <c r="AN15" s="334"/>
      <c r="AO15" s="334"/>
      <c r="AP15" s="7"/>
      <c r="AQ15" s="35"/>
      <c r="AR15" s="31"/>
      <c r="AS15" s="853"/>
      <c r="AT15" s="853"/>
      <c r="AU15" s="36"/>
    </row>
    <row r="16" spans="1:49" ht="15" hidden="1" thickBot="1" x14ac:dyDescent="0.35">
      <c r="A16" s="1091"/>
      <c r="B16" s="25">
        <v>39.5</v>
      </c>
      <c r="C16" s="16">
        <v>8.23</v>
      </c>
      <c r="D16" s="9">
        <v>46.4</v>
      </c>
      <c r="E16" s="94">
        <v>3240</v>
      </c>
      <c r="F16" s="96" t="s">
        <v>26</v>
      </c>
      <c r="G16" s="97">
        <v>1371</v>
      </c>
      <c r="H16" s="26">
        <v>7.53</v>
      </c>
      <c r="I16" s="98">
        <v>43</v>
      </c>
      <c r="J16" s="94">
        <v>1310</v>
      </c>
      <c r="K16" s="95" t="s">
        <v>26</v>
      </c>
      <c r="L16" s="26">
        <v>55.6</v>
      </c>
      <c r="M16" s="188" t="s">
        <v>30</v>
      </c>
      <c r="N16" s="95" t="s">
        <v>26</v>
      </c>
      <c r="O16" s="26">
        <v>56.4</v>
      </c>
      <c r="P16" s="188" t="s">
        <v>30</v>
      </c>
      <c r="Q16" s="95" t="s">
        <v>26</v>
      </c>
      <c r="R16" s="30"/>
      <c r="S16" s="7"/>
      <c r="T16" s="35"/>
      <c r="U16" s="31"/>
      <c r="V16" s="1124"/>
      <c r="W16" s="218"/>
      <c r="X16" s="551"/>
      <c r="Y16" s="220">
        <v>0.5</v>
      </c>
      <c r="Z16" s="138">
        <f t="shared" si="0"/>
        <v>1620</v>
      </c>
      <c r="AA16" s="6" t="s">
        <v>26</v>
      </c>
      <c r="AB16" s="799">
        <v>0.5</v>
      </c>
      <c r="AC16" s="138">
        <f t="shared" si="1"/>
        <v>655</v>
      </c>
      <c r="AD16" s="800" t="s">
        <v>26</v>
      </c>
      <c r="AE16" s="118">
        <v>0.4</v>
      </c>
      <c r="AF16" s="138" t="s">
        <v>30</v>
      </c>
      <c r="AG16" s="138" t="s">
        <v>26</v>
      </c>
      <c r="AH16" s="332" t="s">
        <v>30</v>
      </c>
      <c r="AI16" s="6" t="s">
        <v>26</v>
      </c>
      <c r="AJ16" s="864">
        <f>Z16+AC16</f>
        <v>2275</v>
      </c>
      <c r="AK16" s="865" t="s">
        <v>26</v>
      </c>
      <c r="AL16" s="866">
        <f>AJ16-$AJ$14</f>
        <v>-220</v>
      </c>
      <c r="AM16" s="866"/>
      <c r="AN16" s="866"/>
      <c r="AO16" s="866"/>
      <c r="AP16" s="850"/>
      <c r="AQ16" s="867"/>
      <c r="AR16" s="868"/>
      <c r="AS16" s="869"/>
      <c r="AT16" s="854"/>
      <c r="AU16" s="45"/>
    </row>
    <row r="17" spans="1:47" ht="15" hidden="1" thickBot="1" x14ac:dyDescent="0.35">
      <c r="A17" s="1091"/>
      <c r="B17" s="10">
        <v>120</v>
      </c>
      <c r="C17" s="18">
        <v>8.4600000000000009</v>
      </c>
      <c r="D17" s="82">
        <v>39.799999999999997</v>
      </c>
      <c r="E17" s="94">
        <f>22.9*100</f>
        <v>2290</v>
      </c>
      <c r="F17" s="96" t="s">
        <v>26</v>
      </c>
      <c r="G17" s="92">
        <f>134*10</f>
        <v>1340</v>
      </c>
      <c r="H17" s="26">
        <v>8.18</v>
      </c>
      <c r="I17" s="98">
        <v>39</v>
      </c>
      <c r="J17" s="94">
        <f>20.5*100</f>
        <v>2050</v>
      </c>
      <c r="K17" s="97" t="s">
        <v>26</v>
      </c>
      <c r="L17" s="26">
        <v>52.7</v>
      </c>
      <c r="M17" s="188">
        <v>30</v>
      </c>
      <c r="N17" s="97" t="s">
        <v>26</v>
      </c>
      <c r="O17" s="26">
        <v>53.7</v>
      </c>
      <c r="P17" s="188" t="s">
        <v>30</v>
      </c>
      <c r="Q17" s="97" t="s">
        <v>26</v>
      </c>
      <c r="R17" s="30"/>
      <c r="S17" s="7"/>
      <c r="T17" s="35"/>
      <c r="U17" s="31"/>
      <c r="V17" s="1124"/>
      <c r="W17" s="218"/>
      <c r="X17" s="552"/>
      <c r="Y17" s="220">
        <v>0.5</v>
      </c>
      <c r="Z17" s="138">
        <f t="shared" si="0"/>
        <v>1145</v>
      </c>
      <c r="AA17" s="6" t="s">
        <v>26</v>
      </c>
      <c r="AB17" s="799">
        <v>0.5</v>
      </c>
      <c r="AC17" s="138">
        <f t="shared" si="1"/>
        <v>1025</v>
      </c>
      <c r="AD17" s="800" t="s">
        <v>26</v>
      </c>
      <c r="AE17" s="118">
        <v>0.4</v>
      </c>
      <c r="AF17" s="138">
        <f>$AE17*M17</f>
        <v>12</v>
      </c>
      <c r="AG17" s="138" t="s">
        <v>26</v>
      </c>
      <c r="AH17" s="332" t="s">
        <v>26</v>
      </c>
      <c r="AI17" s="10" t="s">
        <v>26</v>
      </c>
      <c r="AJ17" s="514">
        <f>Z17+AC17+AF17</f>
        <v>2182</v>
      </c>
      <c r="AK17" s="100" t="s">
        <v>26</v>
      </c>
      <c r="AL17" s="394">
        <f t="shared" si="2"/>
        <v>-313</v>
      </c>
      <c r="AM17" s="394"/>
      <c r="AN17" s="394"/>
      <c r="AO17" s="394"/>
      <c r="AP17" s="42"/>
      <c r="AQ17" s="43"/>
      <c r="AR17" s="44"/>
      <c r="AS17" s="854"/>
      <c r="AT17" s="45"/>
      <c r="AU17" s="45"/>
    </row>
    <row r="18" spans="1:47" ht="15" hidden="1" thickBot="1" x14ac:dyDescent="0.35">
      <c r="A18" s="1091"/>
      <c r="B18" s="10">
        <v>137</v>
      </c>
      <c r="C18" s="16">
        <v>8.33</v>
      </c>
      <c r="D18" s="9">
        <v>44.6</v>
      </c>
      <c r="E18" s="94">
        <v>2550</v>
      </c>
      <c r="F18" s="96" t="s">
        <v>26</v>
      </c>
      <c r="G18" s="99"/>
      <c r="H18" s="26">
        <v>7.93</v>
      </c>
      <c r="I18" s="98">
        <v>45.2</v>
      </c>
      <c r="J18" s="94">
        <v>2130</v>
      </c>
      <c r="K18" s="95" t="s">
        <v>26</v>
      </c>
      <c r="L18" s="26">
        <v>55.1</v>
      </c>
      <c r="M18" s="188">
        <v>363</v>
      </c>
      <c r="N18" s="95" t="s">
        <v>26</v>
      </c>
      <c r="O18" s="26">
        <v>56.3</v>
      </c>
      <c r="P18" s="188" t="s">
        <v>30</v>
      </c>
      <c r="Q18" s="95" t="s">
        <v>26</v>
      </c>
      <c r="R18" s="30"/>
      <c r="S18" s="7"/>
      <c r="T18" s="35"/>
      <c r="U18" s="31"/>
      <c r="V18" s="1124"/>
      <c r="W18" s="218"/>
      <c r="X18" s="551"/>
      <c r="Y18" s="220">
        <v>0.5</v>
      </c>
      <c r="Z18" s="138">
        <f t="shared" si="0"/>
        <v>1275</v>
      </c>
      <c r="AA18" s="6" t="s">
        <v>26</v>
      </c>
      <c r="AB18" s="801">
        <v>0.5</v>
      </c>
      <c r="AC18" s="694">
        <f t="shared" si="1"/>
        <v>1065</v>
      </c>
      <c r="AD18" s="695" t="s">
        <v>26</v>
      </c>
      <c r="AE18" s="118">
        <v>0.4</v>
      </c>
      <c r="AF18" s="138">
        <f>$AE18*M18</f>
        <v>145.20000000000002</v>
      </c>
      <c r="AG18" s="138" t="s">
        <v>26</v>
      </c>
      <c r="AH18" s="332" t="s">
        <v>26</v>
      </c>
      <c r="AI18" s="10" t="s">
        <v>26</v>
      </c>
      <c r="AJ18" s="333">
        <f>Z18+AC18+AF18</f>
        <v>2485.1999999999998</v>
      </c>
      <c r="AK18" s="21" t="s">
        <v>26</v>
      </c>
      <c r="AL18" s="334">
        <f t="shared" si="2"/>
        <v>-9.8000000000001819</v>
      </c>
      <c r="AM18" s="334"/>
      <c r="AN18" s="334"/>
      <c r="AO18" s="334"/>
      <c r="AP18" s="7"/>
      <c r="AQ18" s="35"/>
      <c r="AR18" s="31"/>
      <c r="AS18" s="854"/>
      <c r="AT18" s="45"/>
      <c r="AU18" s="45"/>
    </row>
    <row r="19" spans="1:47" ht="15" hidden="1" thickBot="1" x14ac:dyDescent="0.35">
      <c r="A19" s="1091"/>
      <c r="B19" s="10">
        <v>166</v>
      </c>
      <c r="C19" s="16">
        <v>8.23</v>
      </c>
      <c r="D19" s="9">
        <v>47.2</v>
      </c>
      <c r="E19" s="4">
        <f>43*50</f>
        <v>2150</v>
      </c>
      <c r="F19" s="6" t="s">
        <v>26</v>
      </c>
      <c r="G19" s="17">
        <v>1336</v>
      </c>
      <c r="H19" s="18">
        <v>7.85</v>
      </c>
      <c r="I19" s="9">
        <v>48.5</v>
      </c>
      <c r="J19" s="138">
        <f>36.4*50</f>
        <v>1820</v>
      </c>
      <c r="K19" s="10" t="s">
        <v>26</v>
      </c>
      <c r="L19" s="18">
        <v>52.4</v>
      </c>
      <c r="M19" s="193">
        <v>385</v>
      </c>
      <c r="N19" s="10" t="s">
        <v>26</v>
      </c>
      <c r="O19" s="18">
        <v>53.1</v>
      </c>
      <c r="P19" s="193" t="s">
        <v>26</v>
      </c>
      <c r="Q19" s="10" t="s">
        <v>26</v>
      </c>
      <c r="R19" s="30"/>
      <c r="S19" s="7"/>
      <c r="T19" s="35"/>
      <c r="U19" s="31"/>
      <c r="V19" s="1124"/>
      <c r="W19" s="218"/>
      <c r="X19" s="551"/>
      <c r="Y19" s="220">
        <v>0.5</v>
      </c>
      <c r="Z19" s="138">
        <f t="shared" si="0"/>
        <v>1075</v>
      </c>
      <c r="AA19" s="10" t="s">
        <v>26</v>
      </c>
      <c r="AB19" s="617">
        <v>0.5</v>
      </c>
      <c r="AC19" s="38">
        <f t="shared" si="1"/>
        <v>910</v>
      </c>
      <c r="AD19" s="38" t="s">
        <v>26</v>
      </c>
      <c r="AE19" s="220">
        <v>0.4</v>
      </c>
      <c r="AF19" s="138">
        <f>$AE19*M19</f>
        <v>154</v>
      </c>
      <c r="AG19" s="138" t="s">
        <v>26</v>
      </c>
      <c r="AH19" s="332" t="s">
        <v>26</v>
      </c>
      <c r="AI19" s="10" t="s">
        <v>26</v>
      </c>
      <c r="AJ19" s="333">
        <f>Z19+AC19+AF19</f>
        <v>2139</v>
      </c>
      <c r="AK19" s="21" t="s">
        <v>26</v>
      </c>
      <c r="AL19" s="334">
        <f t="shared" si="2"/>
        <v>-356</v>
      </c>
      <c r="AM19" s="334"/>
      <c r="AN19" s="334"/>
      <c r="AO19" s="334"/>
      <c r="AP19" s="7"/>
      <c r="AQ19" s="35"/>
      <c r="AR19" s="31"/>
      <c r="AS19" s="853"/>
      <c r="AT19" s="36"/>
      <c r="AU19" s="36"/>
    </row>
    <row r="20" spans="1:47" s="55" customFormat="1" ht="15" hidden="1" thickBot="1" x14ac:dyDescent="0.35">
      <c r="A20" s="1092"/>
      <c r="B20" s="47">
        <v>190</v>
      </c>
      <c r="C20" s="74">
        <v>8.27</v>
      </c>
      <c r="D20" s="49">
        <v>47.8</v>
      </c>
      <c r="E20" s="50">
        <f>44.4*50</f>
        <v>2220</v>
      </c>
      <c r="F20" s="54" t="s">
        <v>26</v>
      </c>
      <c r="G20" s="75">
        <v>1276</v>
      </c>
      <c r="H20" s="52">
        <v>7.9</v>
      </c>
      <c r="I20" s="49">
        <v>49.5</v>
      </c>
      <c r="J20" s="139">
        <f>46.8*50</f>
        <v>2340</v>
      </c>
      <c r="K20" s="47" t="s">
        <v>26</v>
      </c>
      <c r="L20" s="52">
        <v>53.4</v>
      </c>
      <c r="M20" s="194">
        <v>437</v>
      </c>
      <c r="N20" s="47" t="s">
        <v>26</v>
      </c>
      <c r="O20" s="52">
        <v>53.9</v>
      </c>
      <c r="P20" s="194" t="s">
        <v>26</v>
      </c>
      <c r="Q20" s="47" t="s">
        <v>26</v>
      </c>
      <c r="R20" s="57"/>
      <c r="S20" s="58"/>
      <c r="T20" s="59"/>
      <c r="U20" s="60"/>
      <c r="V20" s="1135"/>
      <c r="W20" s="218"/>
      <c r="X20" s="551"/>
      <c r="Y20" s="221">
        <v>0.5</v>
      </c>
      <c r="Z20" s="139">
        <f t="shared" si="0"/>
        <v>1110</v>
      </c>
      <c r="AA20" s="47" t="s">
        <v>26</v>
      </c>
      <c r="AB20" s="221">
        <v>0.5</v>
      </c>
      <c r="AC20" s="335">
        <f t="shared" si="1"/>
        <v>1170</v>
      </c>
      <c r="AD20" s="139" t="s">
        <v>26</v>
      </c>
      <c r="AE20" s="221">
        <v>0.4</v>
      </c>
      <c r="AF20" s="139">
        <f>$AE20*M20</f>
        <v>174.8</v>
      </c>
      <c r="AG20" s="139" t="s">
        <v>26</v>
      </c>
      <c r="AH20" s="336" t="s">
        <v>26</v>
      </c>
      <c r="AI20" s="47" t="s">
        <v>26</v>
      </c>
      <c r="AJ20" s="333">
        <f>Z20+AC20+AF20</f>
        <v>2454.8000000000002</v>
      </c>
      <c r="AK20" s="300" t="s">
        <v>26</v>
      </c>
      <c r="AL20" s="338">
        <f t="shared" si="2"/>
        <v>-40.199999999999818</v>
      </c>
      <c r="AM20" s="428"/>
      <c r="AN20" s="428"/>
      <c r="AO20" s="428"/>
      <c r="AP20" s="339">
        <f>AF20/Z14</f>
        <v>7.0060120240480972E-2</v>
      </c>
      <c r="AQ20" s="430"/>
      <c r="AR20" s="249">
        <f>(Z14-Z20)/Z14</f>
        <v>0.55511022044088176</v>
      </c>
      <c r="AS20" s="855"/>
      <c r="AT20" s="555"/>
      <c r="AU20" s="555">
        <f>((G14+$T$2)-G20)/(1000*(B20/24))</f>
        <v>0.4413473684210526</v>
      </c>
    </row>
    <row r="21" spans="1:47" ht="15.6" hidden="1" thickTop="1" thickBot="1" x14ac:dyDescent="0.35">
      <c r="A21" s="1128">
        <v>3</v>
      </c>
      <c r="B21" s="39"/>
      <c r="C21" s="41"/>
      <c r="D21" s="42"/>
      <c r="E21" s="42"/>
      <c r="F21" s="43"/>
      <c r="G21" s="43"/>
      <c r="H21" s="41"/>
      <c r="I21" s="42"/>
      <c r="J21" s="42"/>
      <c r="K21" s="44"/>
      <c r="L21" s="41"/>
      <c r="M21" s="189"/>
      <c r="N21" s="44"/>
      <c r="O21" s="41"/>
      <c r="P21" s="189"/>
      <c r="Q21" s="44"/>
      <c r="R21" s="41"/>
      <c r="S21" s="42"/>
      <c r="T21" s="43"/>
      <c r="U21" s="44"/>
      <c r="V21" s="45"/>
      <c r="W21" s="219" t="s">
        <v>40</v>
      </c>
      <c r="X21" s="551"/>
      <c r="Y21" s="340"/>
      <c r="Z21" s="327"/>
      <c r="AA21" s="341"/>
      <c r="AB21" s="340"/>
      <c r="AC21" s="342"/>
      <c r="AD21" s="342"/>
      <c r="AE21" s="340"/>
      <c r="AF21" s="343"/>
      <c r="AG21" s="342"/>
      <c r="AH21" s="344"/>
      <c r="AI21" s="321"/>
      <c r="AJ21" s="345"/>
      <c r="AK21" s="399"/>
      <c r="AL21" s="346"/>
      <c r="AM21" s="346"/>
      <c r="AN21" s="346"/>
      <c r="AO21" s="351"/>
      <c r="AP21" s="342"/>
      <c r="AQ21" s="349"/>
      <c r="AR21" s="321"/>
      <c r="AS21" s="341"/>
      <c r="AT21" s="556"/>
      <c r="AU21" s="556"/>
    </row>
    <row r="22" spans="1:47" ht="15" hidden="1" thickBot="1" x14ac:dyDescent="0.35">
      <c r="A22" s="1129"/>
      <c r="B22" s="10"/>
      <c r="C22" s="30"/>
      <c r="D22" s="7"/>
      <c r="E22" s="7"/>
      <c r="F22" s="35"/>
      <c r="G22" s="35"/>
      <c r="H22" s="30"/>
      <c r="I22" s="7"/>
      <c r="J22" s="7"/>
      <c r="K22" s="31"/>
      <c r="L22" s="30"/>
      <c r="M22" s="190"/>
      <c r="N22" s="31"/>
      <c r="O22" s="30"/>
      <c r="P22" s="190"/>
      <c r="Q22" s="31"/>
      <c r="R22" s="30"/>
      <c r="S22" s="7"/>
      <c r="T22" s="35"/>
      <c r="U22" s="31"/>
      <c r="V22" s="36"/>
      <c r="W22" s="220" t="s">
        <v>38</v>
      </c>
      <c r="X22" s="551"/>
      <c r="Y22" s="348"/>
      <c r="Z22" s="327"/>
      <c r="AA22" s="341"/>
      <c r="AB22" s="348"/>
      <c r="AC22" s="342"/>
      <c r="AD22" s="342"/>
      <c r="AE22" s="348"/>
      <c r="AF22" s="349"/>
      <c r="AG22" s="342"/>
      <c r="AH22" s="347"/>
      <c r="AI22" s="321"/>
      <c r="AJ22" s="350"/>
      <c r="AK22" s="400"/>
      <c r="AL22" s="351"/>
      <c r="AM22" s="351"/>
      <c r="AN22" s="351"/>
      <c r="AO22" s="351"/>
      <c r="AP22" s="342"/>
      <c r="AQ22" s="349"/>
      <c r="AR22" s="321"/>
      <c r="AS22" s="341"/>
      <c r="AT22" s="556"/>
      <c r="AU22" s="556"/>
    </row>
    <row r="23" spans="1:47" s="55" customFormat="1" ht="15" hidden="1" thickBot="1" x14ac:dyDescent="0.35">
      <c r="A23" s="1130"/>
      <c r="B23" s="47"/>
      <c r="C23" s="57"/>
      <c r="D23" s="58"/>
      <c r="E23" s="58"/>
      <c r="F23" s="59"/>
      <c r="G23" s="59"/>
      <c r="H23" s="57"/>
      <c r="I23" s="58"/>
      <c r="J23" s="58"/>
      <c r="K23" s="60"/>
      <c r="L23" s="57"/>
      <c r="M23" s="191"/>
      <c r="N23" s="60"/>
      <c r="O23" s="57"/>
      <c r="P23" s="191"/>
      <c r="Q23" s="60"/>
      <c r="R23" s="57"/>
      <c r="S23" s="58"/>
      <c r="T23" s="59"/>
      <c r="U23" s="60"/>
      <c r="V23" s="61"/>
      <c r="W23" s="221"/>
      <c r="X23" s="551"/>
      <c r="Y23" s="352"/>
      <c r="Z23" s="353"/>
      <c r="AA23" s="354"/>
      <c r="AB23" s="352"/>
      <c r="AC23" s="355"/>
      <c r="AD23" s="355"/>
      <c r="AE23" s="352"/>
      <c r="AF23" s="356"/>
      <c r="AG23" s="355"/>
      <c r="AH23" s="357"/>
      <c r="AI23" s="358"/>
      <c r="AJ23" s="359"/>
      <c r="AK23" s="401"/>
      <c r="AL23" s="360"/>
      <c r="AM23" s="360"/>
      <c r="AN23" s="360"/>
      <c r="AO23" s="360"/>
      <c r="AP23" s="355"/>
      <c r="AQ23" s="356"/>
      <c r="AR23" s="358"/>
      <c r="AS23" s="354"/>
      <c r="AT23" s="557"/>
      <c r="AU23" s="557"/>
    </row>
    <row r="24" spans="1:47" ht="30" hidden="1" thickTop="1" thickBot="1" x14ac:dyDescent="0.35">
      <c r="A24" s="1136">
        <v>4</v>
      </c>
      <c r="B24" s="39">
        <v>0</v>
      </c>
      <c r="C24" s="133">
        <v>7.79</v>
      </c>
      <c r="D24" s="38">
        <v>49.5</v>
      </c>
      <c r="E24" s="79">
        <f>98.3*50</f>
        <v>4915</v>
      </c>
      <c r="F24" s="100" t="s">
        <v>26</v>
      </c>
      <c r="G24" s="100">
        <f>202*10</f>
        <v>2020</v>
      </c>
      <c r="H24" s="37">
        <v>7.51</v>
      </c>
      <c r="I24" s="38">
        <v>55</v>
      </c>
      <c r="J24" s="79">
        <f>0.26*50</f>
        <v>13</v>
      </c>
      <c r="K24" s="39" t="s">
        <v>26</v>
      </c>
      <c r="L24" s="107" t="s">
        <v>26</v>
      </c>
      <c r="M24" s="192">
        <v>0</v>
      </c>
      <c r="N24" s="39">
        <v>0</v>
      </c>
      <c r="O24" s="107" t="s">
        <v>26</v>
      </c>
      <c r="P24" s="192">
        <v>0</v>
      </c>
      <c r="Q24" s="39">
        <v>0</v>
      </c>
      <c r="R24" s="157">
        <v>-0.35</v>
      </c>
      <c r="S24" s="153"/>
      <c r="T24" s="158"/>
      <c r="U24" s="159"/>
      <c r="V24" s="1132">
        <v>300</v>
      </c>
      <c r="W24" s="222" t="s">
        <v>47</v>
      </c>
      <c r="X24" s="551"/>
      <c r="Y24" s="328">
        <v>0.5</v>
      </c>
      <c r="Z24" s="323">
        <f>$Y24*E24</f>
        <v>2457.5</v>
      </c>
      <c r="AA24" s="322" t="s">
        <v>26</v>
      </c>
      <c r="AB24" s="328">
        <v>0.5</v>
      </c>
      <c r="AC24" s="323">
        <f>$AB24*J24</f>
        <v>6.5</v>
      </c>
      <c r="AD24" s="323" t="s">
        <v>26</v>
      </c>
      <c r="AE24" s="328">
        <v>0.4</v>
      </c>
      <c r="AF24" s="323">
        <f>$AE24*M24</f>
        <v>0</v>
      </c>
      <c r="AG24" s="323" t="s">
        <v>26</v>
      </c>
      <c r="AH24" s="329" t="s">
        <v>26</v>
      </c>
      <c r="AI24" s="322" t="s">
        <v>26</v>
      </c>
      <c r="AJ24" s="363">
        <f>Z24+AC24+AF24</f>
        <v>2464</v>
      </c>
      <c r="AK24" s="398" t="s">
        <v>26</v>
      </c>
      <c r="AL24" s="331" t="s">
        <v>26</v>
      </c>
      <c r="AM24" s="331"/>
      <c r="AN24" s="331"/>
      <c r="AO24" s="331"/>
      <c r="AP24" s="167"/>
      <c r="AQ24" s="168"/>
      <c r="AR24" s="169"/>
      <c r="AS24" s="856"/>
      <c r="AT24" s="558"/>
      <c r="AU24" s="558"/>
    </row>
    <row r="25" spans="1:47" ht="15" hidden="1" thickBot="1" x14ac:dyDescent="0.35">
      <c r="A25" s="1129"/>
      <c r="B25" s="10">
        <v>21</v>
      </c>
      <c r="C25" s="134">
        <v>7.89</v>
      </c>
      <c r="D25" s="4">
        <v>47.6</v>
      </c>
      <c r="E25" s="4">
        <f>68.6*50</f>
        <v>3429.9999999999995</v>
      </c>
      <c r="F25" s="6" t="s">
        <v>26</v>
      </c>
      <c r="G25" s="21">
        <f>154*10</f>
        <v>1540</v>
      </c>
      <c r="H25" s="33">
        <v>8.5500000000000007</v>
      </c>
      <c r="I25" s="4">
        <v>57.7</v>
      </c>
      <c r="J25" s="138">
        <f>17.1*50</f>
        <v>855.00000000000011</v>
      </c>
      <c r="K25" s="10" t="s">
        <v>26</v>
      </c>
      <c r="L25" s="33">
        <v>49.6</v>
      </c>
      <c r="M25" s="118">
        <v>172</v>
      </c>
      <c r="N25" s="10" t="s">
        <v>26</v>
      </c>
      <c r="O25" s="34" t="s">
        <v>26</v>
      </c>
      <c r="P25" s="118" t="s">
        <v>26</v>
      </c>
      <c r="Q25" s="10" t="s">
        <v>26</v>
      </c>
      <c r="R25" s="84">
        <v>-0.35</v>
      </c>
      <c r="S25" s="85">
        <v>-0.21</v>
      </c>
      <c r="T25" s="149"/>
      <c r="U25" s="89">
        <v>9.4</v>
      </c>
      <c r="V25" s="1083"/>
      <c r="W25" s="218" t="s">
        <v>41</v>
      </c>
      <c r="X25" s="551"/>
      <c r="Y25" s="220">
        <v>0.5</v>
      </c>
      <c r="Z25" s="138">
        <f>$Y25*E25</f>
        <v>1714.9999999999998</v>
      </c>
      <c r="AA25" s="10" t="s">
        <v>26</v>
      </c>
      <c r="AB25" s="220">
        <v>0.5</v>
      </c>
      <c r="AC25" s="138">
        <f>$AB25*J25</f>
        <v>427.50000000000006</v>
      </c>
      <c r="AD25" s="138" t="s">
        <v>26</v>
      </c>
      <c r="AE25" s="220">
        <v>0.4</v>
      </c>
      <c r="AF25" s="138">
        <f>$AE25*M25</f>
        <v>68.8</v>
      </c>
      <c r="AG25" s="138" t="s">
        <v>26</v>
      </c>
      <c r="AH25" s="118" t="s">
        <v>26</v>
      </c>
      <c r="AI25" s="10" t="s">
        <v>26</v>
      </c>
      <c r="AJ25" s="324">
        <f>Z25+AC25+AF25</f>
        <v>2211.3000000000002</v>
      </c>
      <c r="AK25" s="21" t="s">
        <v>26</v>
      </c>
      <c r="AL25" s="334">
        <f t="shared" ref="AL25:AL27" si="3">AJ25-$AJ$24</f>
        <v>-252.69999999999982</v>
      </c>
      <c r="AM25" s="334"/>
      <c r="AN25" s="334"/>
      <c r="AO25" s="334"/>
      <c r="AP25" s="7"/>
      <c r="AQ25" s="35"/>
      <c r="AR25" s="31"/>
      <c r="AS25" s="853"/>
      <c r="AT25" s="36"/>
      <c r="AU25" s="36"/>
    </row>
    <row r="26" spans="1:47" ht="15" hidden="1" thickBot="1" x14ac:dyDescent="0.35">
      <c r="A26" s="1129"/>
      <c r="B26" s="10">
        <v>47</v>
      </c>
      <c r="C26" s="134">
        <v>8.0500000000000007</v>
      </c>
      <c r="D26" s="4">
        <v>46.6</v>
      </c>
      <c r="E26" s="4">
        <f>1346*2</f>
        <v>2692</v>
      </c>
      <c r="F26" s="6" t="s">
        <v>26</v>
      </c>
      <c r="G26" s="21">
        <f>91.7*10</f>
        <v>917</v>
      </c>
      <c r="H26" s="104">
        <v>8.6999999999999993</v>
      </c>
      <c r="I26" s="4">
        <v>59.8</v>
      </c>
      <c r="J26" s="138">
        <f>841*2</f>
        <v>1682</v>
      </c>
      <c r="K26" s="10" t="s">
        <v>26</v>
      </c>
      <c r="L26" s="104">
        <v>50.7</v>
      </c>
      <c r="M26" s="118">
        <v>260</v>
      </c>
      <c r="N26" s="10" t="s">
        <v>26</v>
      </c>
      <c r="O26" s="108" t="s">
        <v>26</v>
      </c>
      <c r="P26" s="118" t="s">
        <v>26</v>
      </c>
      <c r="Q26" s="10" t="s">
        <v>26</v>
      </c>
      <c r="R26" s="84"/>
      <c r="S26" s="85"/>
      <c r="T26" s="149"/>
      <c r="U26" s="89"/>
      <c r="V26" s="1083"/>
      <c r="W26" s="223"/>
      <c r="X26" s="551"/>
      <c r="Y26" s="220">
        <v>0.5</v>
      </c>
      <c r="Z26" s="138">
        <f>$Y26*E26</f>
        <v>1346</v>
      </c>
      <c r="AA26" s="10" t="s">
        <v>26</v>
      </c>
      <c r="AB26" s="220">
        <v>0.5</v>
      </c>
      <c r="AC26" s="138">
        <f>$AB26*J26</f>
        <v>841</v>
      </c>
      <c r="AD26" s="138" t="s">
        <v>26</v>
      </c>
      <c r="AE26" s="220">
        <v>0.4</v>
      </c>
      <c r="AF26" s="138">
        <f>$AE26*M26</f>
        <v>104</v>
      </c>
      <c r="AG26" s="138" t="s">
        <v>26</v>
      </c>
      <c r="AH26" s="118" t="s">
        <v>26</v>
      </c>
      <c r="AI26" s="10" t="s">
        <v>26</v>
      </c>
      <c r="AJ26" s="324">
        <f>Z26+AC26+AF26</f>
        <v>2291</v>
      </c>
      <c r="AK26" s="21" t="s">
        <v>26</v>
      </c>
      <c r="AL26" s="334">
        <f t="shared" si="3"/>
        <v>-173</v>
      </c>
      <c r="AM26" s="334"/>
      <c r="AN26" s="334"/>
      <c r="AO26" s="334"/>
      <c r="AP26" s="7"/>
      <c r="AQ26" s="35"/>
      <c r="AR26" s="31"/>
      <c r="AS26" s="853"/>
      <c r="AT26" s="36"/>
      <c r="AU26" s="36"/>
    </row>
    <row r="27" spans="1:47" ht="15" hidden="1" thickBot="1" x14ac:dyDescent="0.35">
      <c r="A27" s="1129"/>
      <c r="B27" s="10">
        <v>68</v>
      </c>
      <c r="C27" s="134">
        <v>8.1199999999999992</v>
      </c>
      <c r="D27" s="4">
        <v>45.6</v>
      </c>
      <c r="E27" s="4">
        <f>1189*2</f>
        <v>2378</v>
      </c>
      <c r="F27" s="6" t="s">
        <v>26</v>
      </c>
      <c r="G27" s="6">
        <f>83.7*10</f>
        <v>837</v>
      </c>
      <c r="H27" s="33">
        <v>8.43</v>
      </c>
      <c r="I27" s="4">
        <v>59.7</v>
      </c>
      <c r="J27" s="138">
        <f>931*2</f>
        <v>1862</v>
      </c>
      <c r="K27" s="10" t="s">
        <v>26</v>
      </c>
      <c r="L27" s="33">
        <v>47.8</v>
      </c>
      <c r="M27" s="118">
        <v>325</v>
      </c>
      <c r="N27" s="10" t="s">
        <v>26</v>
      </c>
      <c r="O27" s="108" t="s">
        <v>26</v>
      </c>
      <c r="P27" s="118" t="s">
        <v>26</v>
      </c>
      <c r="Q27" s="10" t="s">
        <v>26</v>
      </c>
      <c r="R27" s="84">
        <v>-0.35</v>
      </c>
      <c r="S27" s="85"/>
      <c r="T27" s="149"/>
      <c r="U27" s="89"/>
      <c r="V27" s="1133"/>
      <c r="W27" s="224" t="s">
        <v>43</v>
      </c>
      <c r="X27" s="551"/>
      <c r="Y27" s="221">
        <v>0.5</v>
      </c>
      <c r="Z27" s="139">
        <f>Y27*E27</f>
        <v>1189</v>
      </c>
      <c r="AA27" s="47" t="s">
        <v>26</v>
      </c>
      <c r="AB27" s="221">
        <v>0.5</v>
      </c>
      <c r="AC27" s="335">
        <f>$AB27*J27</f>
        <v>931</v>
      </c>
      <c r="AD27" s="139" t="s">
        <v>26</v>
      </c>
      <c r="AE27" s="221">
        <v>0.4</v>
      </c>
      <c r="AF27" s="139">
        <f>$AE27*M27</f>
        <v>130</v>
      </c>
      <c r="AG27" s="139" t="s">
        <v>26</v>
      </c>
      <c r="AH27" s="129" t="s">
        <v>26</v>
      </c>
      <c r="AI27" s="47" t="s">
        <v>26</v>
      </c>
      <c r="AJ27" s="365">
        <f>Z27+AC27+AF27</f>
        <v>2250</v>
      </c>
      <c r="AK27" s="300" t="s">
        <v>26</v>
      </c>
      <c r="AL27" s="338">
        <f t="shared" si="3"/>
        <v>-214</v>
      </c>
      <c r="AM27" s="338"/>
      <c r="AN27" s="338"/>
      <c r="AO27" s="338"/>
      <c r="AP27" s="339">
        <f>(AF27)/Z24</f>
        <v>5.2899287894201424E-2</v>
      </c>
      <c r="AQ27" s="430"/>
      <c r="AR27" s="249">
        <f>(Z24-Z27)/Z24</f>
        <v>0.51617497456765005</v>
      </c>
      <c r="AS27" s="855"/>
      <c r="AT27" s="555"/>
      <c r="AU27" s="555">
        <f>((G24+$T$2)-G27)/(1000*(B27/24))</f>
        <v>1.4057647058823528</v>
      </c>
    </row>
    <row r="28" spans="1:47" ht="15.6" hidden="1" thickTop="1" thickBot="1" x14ac:dyDescent="0.35">
      <c r="A28" s="106">
        <v>5</v>
      </c>
      <c r="B28" s="109" t="s">
        <v>48</v>
      </c>
      <c r="C28" s="132">
        <v>8.01</v>
      </c>
      <c r="D28" s="110">
        <v>45.4</v>
      </c>
      <c r="E28" s="110">
        <f>978*2</f>
        <v>1956</v>
      </c>
      <c r="F28" s="184" t="s">
        <v>26</v>
      </c>
      <c r="G28" s="109">
        <f>46.6*10</f>
        <v>466</v>
      </c>
      <c r="H28" s="106">
        <v>8.5299999999999994</v>
      </c>
      <c r="I28" s="110">
        <v>61.8</v>
      </c>
      <c r="J28" s="186">
        <v>1020</v>
      </c>
      <c r="K28" s="195" t="s">
        <v>26</v>
      </c>
      <c r="L28" s="106">
        <v>42</v>
      </c>
      <c r="M28" s="184">
        <v>2007</v>
      </c>
      <c r="N28" s="195" t="s">
        <v>26</v>
      </c>
      <c r="O28" s="106" t="s">
        <v>26</v>
      </c>
      <c r="P28" s="184" t="s">
        <v>26</v>
      </c>
      <c r="Q28" s="195" t="s">
        <v>26</v>
      </c>
      <c r="R28" s="106"/>
      <c r="S28" s="110"/>
      <c r="T28" s="137"/>
      <c r="U28" s="109"/>
      <c r="V28" s="106">
        <v>300</v>
      </c>
      <c r="W28" s="225"/>
      <c r="X28" s="551"/>
      <c r="Y28" s="328">
        <v>0.5</v>
      </c>
      <c r="Z28" s="323">
        <f>$Y28*E28</f>
        <v>978</v>
      </c>
      <c r="AA28" s="322" t="s">
        <v>26</v>
      </c>
      <c r="AB28" s="328">
        <v>0.5</v>
      </c>
      <c r="AC28" s="323" t="s">
        <v>26</v>
      </c>
      <c r="AD28" s="323" t="s">
        <v>26</v>
      </c>
      <c r="AE28" s="328">
        <v>0.4</v>
      </c>
      <c r="AF28" s="237" t="s">
        <v>26</v>
      </c>
      <c r="AG28" s="323" t="s">
        <v>26</v>
      </c>
      <c r="AH28" s="329" t="s">
        <v>26</v>
      </c>
      <c r="AI28" s="322" t="s">
        <v>26</v>
      </c>
      <c r="AJ28" s="330" t="s">
        <v>26</v>
      </c>
      <c r="AK28" s="402" t="s">
        <v>26</v>
      </c>
      <c r="AL28" s="367" t="s">
        <v>26</v>
      </c>
      <c r="AM28" s="367"/>
      <c r="AN28" s="367"/>
      <c r="AO28" s="367"/>
      <c r="AP28" s="323" t="s">
        <v>26</v>
      </c>
      <c r="AQ28" s="237"/>
      <c r="AR28" s="322" t="s">
        <v>26</v>
      </c>
      <c r="AS28" s="857"/>
      <c r="AT28" s="559"/>
      <c r="AU28" s="559"/>
    </row>
    <row r="29" spans="1:47" ht="15.6" hidden="1" thickTop="1" thickBot="1" x14ac:dyDescent="0.35">
      <c r="A29" s="106">
        <v>6</v>
      </c>
      <c r="B29" s="109">
        <v>0</v>
      </c>
      <c r="C29" s="132">
        <v>7.86</v>
      </c>
      <c r="D29" s="110">
        <v>52.9</v>
      </c>
      <c r="E29" s="110">
        <f>971*5</f>
        <v>4855</v>
      </c>
      <c r="F29" s="195" t="s">
        <v>26</v>
      </c>
      <c r="G29" s="109">
        <f>188.4*10</f>
        <v>1884</v>
      </c>
      <c r="H29" s="106" t="s">
        <v>26</v>
      </c>
      <c r="I29" s="110" t="s">
        <v>26</v>
      </c>
      <c r="J29" s="186" t="s">
        <v>26</v>
      </c>
      <c r="K29" s="109" t="s">
        <v>26</v>
      </c>
      <c r="L29" s="106" t="s">
        <v>26</v>
      </c>
      <c r="M29" s="184" t="s">
        <v>26</v>
      </c>
      <c r="N29" s="184" t="s">
        <v>26</v>
      </c>
      <c r="O29" s="106" t="s">
        <v>26</v>
      </c>
      <c r="P29" s="184" t="s">
        <v>26</v>
      </c>
      <c r="Q29" s="184" t="s">
        <v>26</v>
      </c>
      <c r="R29" s="106"/>
      <c r="S29" s="110"/>
      <c r="T29" s="152"/>
      <c r="U29" s="109"/>
      <c r="V29" s="151"/>
      <c r="W29" s="225"/>
      <c r="X29" s="551"/>
      <c r="Y29" s="225"/>
      <c r="Z29" s="152"/>
      <c r="AA29" s="368" t="s">
        <v>26</v>
      </c>
      <c r="AB29" s="225"/>
      <c r="AC29" s="198" t="s">
        <v>26</v>
      </c>
      <c r="AD29" s="198" t="s">
        <v>26</v>
      </c>
      <c r="AE29" s="225"/>
      <c r="AF29" s="369" t="s">
        <v>26</v>
      </c>
      <c r="AG29" s="198" t="s">
        <v>26</v>
      </c>
      <c r="AH29" s="373" t="s">
        <v>26</v>
      </c>
      <c r="AI29" s="119" t="s">
        <v>26</v>
      </c>
      <c r="AJ29" s="371" t="s">
        <v>26</v>
      </c>
      <c r="AK29" s="403" t="s">
        <v>26</v>
      </c>
      <c r="AL29" s="372" t="s">
        <v>26</v>
      </c>
      <c r="AM29" s="372"/>
      <c r="AN29" s="372"/>
      <c r="AO29" s="372"/>
      <c r="AP29" s="198" t="s">
        <v>26</v>
      </c>
      <c r="AQ29" s="369"/>
      <c r="AR29" s="119" t="s">
        <v>26</v>
      </c>
      <c r="AS29" s="368"/>
      <c r="AT29" s="131"/>
      <c r="AU29" s="131"/>
    </row>
    <row r="30" spans="1:47" ht="15.6" hidden="1" thickTop="1" thickBot="1" x14ac:dyDescent="0.35">
      <c r="A30" s="1179">
        <v>7</v>
      </c>
      <c r="B30" s="137">
        <v>0</v>
      </c>
      <c r="C30" s="132">
        <v>7.2</v>
      </c>
      <c r="D30" s="110">
        <v>20.12</v>
      </c>
      <c r="E30" s="110">
        <f>111*10</f>
        <v>1110</v>
      </c>
      <c r="F30" s="184" t="s">
        <v>26</v>
      </c>
      <c r="G30" s="137">
        <f>381*5</f>
        <v>1905</v>
      </c>
      <c r="H30" s="132">
        <v>7.27</v>
      </c>
      <c r="I30" s="110">
        <v>18.8</v>
      </c>
      <c r="J30" s="186">
        <v>0</v>
      </c>
      <c r="K30" s="137">
        <v>0</v>
      </c>
      <c r="L30" s="132" t="s">
        <v>26</v>
      </c>
      <c r="M30" s="184">
        <v>0</v>
      </c>
      <c r="N30" s="184">
        <v>0</v>
      </c>
      <c r="O30" s="132" t="s">
        <v>26</v>
      </c>
      <c r="P30" s="184">
        <v>0</v>
      </c>
      <c r="Q30" s="184">
        <v>0</v>
      </c>
      <c r="R30" s="132"/>
      <c r="S30" s="115"/>
      <c r="T30" s="115"/>
      <c r="U30" s="116"/>
      <c r="V30" s="1082">
        <v>300</v>
      </c>
      <c r="W30" s="226" t="s">
        <v>55</v>
      </c>
      <c r="X30" s="551"/>
      <c r="Y30" s="405">
        <v>1</v>
      </c>
      <c r="Z30" s="323">
        <f t="shared" ref="Z30:Z37" si="4">$Y30*E30</f>
        <v>1110</v>
      </c>
      <c r="AA30" s="322" t="s">
        <v>26</v>
      </c>
      <c r="AB30" s="374">
        <v>0.5</v>
      </c>
      <c r="AC30" s="323">
        <f>$AB30*J30</f>
        <v>0</v>
      </c>
      <c r="AD30" s="323" t="s">
        <v>26</v>
      </c>
      <c r="AE30" s="328">
        <v>0.4</v>
      </c>
      <c r="AF30" s="323">
        <f>$AE30*M30</f>
        <v>0</v>
      </c>
      <c r="AG30" s="323" t="s">
        <v>26</v>
      </c>
      <c r="AH30" s="375">
        <v>0</v>
      </c>
      <c r="AI30" s="322" t="s">
        <v>26</v>
      </c>
      <c r="AJ30" s="363">
        <f>Z30+AC30+AF30+AH30</f>
        <v>1110</v>
      </c>
      <c r="AK30" s="398" t="s">
        <v>26</v>
      </c>
      <c r="AL30" s="331" t="s">
        <v>26</v>
      </c>
      <c r="AM30" s="331"/>
      <c r="AN30" s="331"/>
      <c r="AO30" s="331"/>
      <c r="AP30" s="167"/>
      <c r="AQ30" s="168"/>
      <c r="AR30" s="169"/>
      <c r="AS30" s="858"/>
      <c r="AT30" s="560"/>
      <c r="AU30" s="560"/>
    </row>
    <row r="31" spans="1:47" ht="15" hidden="1" thickBot="1" x14ac:dyDescent="0.35">
      <c r="A31" s="1180"/>
      <c r="B31" s="124">
        <v>21</v>
      </c>
      <c r="C31" s="125">
        <v>7.75</v>
      </c>
      <c r="D31" s="126">
        <v>18.739999999999998</v>
      </c>
      <c r="E31" s="127">
        <v>678</v>
      </c>
      <c r="F31" s="127" t="s">
        <v>26</v>
      </c>
      <c r="G31" s="117">
        <f>298*5</f>
        <v>1490</v>
      </c>
      <c r="H31" s="136" t="s">
        <v>26</v>
      </c>
      <c r="I31" s="127" t="s">
        <v>26</v>
      </c>
      <c r="J31" s="127" t="s">
        <v>26</v>
      </c>
      <c r="K31" s="117" t="s">
        <v>26</v>
      </c>
      <c r="L31" s="128" t="s">
        <v>26</v>
      </c>
      <c r="M31" s="128" t="s">
        <v>26</v>
      </c>
      <c r="N31" s="117" t="s">
        <v>26</v>
      </c>
      <c r="O31" s="136" t="s">
        <v>26</v>
      </c>
      <c r="P31" s="128" t="s">
        <v>26</v>
      </c>
      <c r="Q31" s="117" t="s">
        <v>26</v>
      </c>
      <c r="R31" s="125"/>
      <c r="S31" s="127"/>
      <c r="T31" s="127"/>
      <c r="U31" s="117"/>
      <c r="V31" s="1083"/>
      <c r="W31" s="227" t="s">
        <v>43</v>
      </c>
      <c r="X31" s="551"/>
      <c r="Y31" s="419">
        <v>1</v>
      </c>
      <c r="Z31" s="138">
        <f t="shared" si="4"/>
        <v>678</v>
      </c>
      <c r="AA31" s="10" t="s">
        <v>26</v>
      </c>
      <c r="AB31" s="376">
        <v>0.5</v>
      </c>
      <c r="AC31" s="138" t="s">
        <v>26</v>
      </c>
      <c r="AD31" s="138" t="s">
        <v>26</v>
      </c>
      <c r="AE31" s="220">
        <v>0.4</v>
      </c>
      <c r="AF31" s="138" t="s">
        <v>26</v>
      </c>
      <c r="AG31" s="325" t="s">
        <v>26</v>
      </c>
      <c r="AH31" s="378" t="s">
        <v>26</v>
      </c>
      <c r="AI31" s="326" t="s">
        <v>26</v>
      </c>
      <c r="AJ31" s="324" t="s">
        <v>26</v>
      </c>
      <c r="AK31" s="21" t="s">
        <v>26</v>
      </c>
      <c r="AL31" s="334" t="s">
        <v>26</v>
      </c>
      <c r="AM31" s="334"/>
      <c r="AN31" s="334"/>
      <c r="AO31" s="334"/>
      <c r="AP31" s="7"/>
      <c r="AQ31" s="35"/>
      <c r="AR31" s="31"/>
      <c r="AS31" s="859"/>
      <c r="AT31" s="561"/>
      <c r="AU31" s="561"/>
    </row>
    <row r="32" spans="1:47" ht="15" hidden="1" thickBot="1" x14ac:dyDescent="0.35">
      <c r="A32" s="1180"/>
      <c r="B32" s="10">
        <v>42</v>
      </c>
      <c r="C32" s="134">
        <v>7.68</v>
      </c>
      <c r="D32" s="138">
        <v>17.14</v>
      </c>
      <c r="E32" s="138">
        <v>600</v>
      </c>
      <c r="F32" s="6" t="s">
        <v>26</v>
      </c>
      <c r="G32" s="10">
        <f>146*5</f>
        <v>730</v>
      </c>
      <c r="H32" s="134" t="s">
        <v>26</v>
      </c>
      <c r="I32" s="138" t="s">
        <v>26</v>
      </c>
      <c r="J32" s="138" t="s">
        <v>26</v>
      </c>
      <c r="K32" s="117" t="s">
        <v>26</v>
      </c>
      <c r="L32" s="134" t="s">
        <v>26</v>
      </c>
      <c r="M32" s="128" t="s">
        <v>26</v>
      </c>
      <c r="N32" s="117" t="s">
        <v>26</v>
      </c>
      <c r="O32" s="134" t="s">
        <v>26</v>
      </c>
      <c r="P32" s="128" t="s">
        <v>26</v>
      </c>
      <c r="Q32" s="117" t="s">
        <v>26</v>
      </c>
      <c r="R32" s="160">
        <v>-0.29199999999999998</v>
      </c>
      <c r="S32" s="161">
        <v>-0.35499999999999998</v>
      </c>
      <c r="T32" s="161"/>
      <c r="U32" s="117">
        <v>33</v>
      </c>
      <c r="V32" s="1083"/>
      <c r="W32" s="227" t="s">
        <v>52</v>
      </c>
      <c r="X32" s="551"/>
      <c r="Y32" s="419">
        <v>1</v>
      </c>
      <c r="Z32" s="138">
        <f t="shared" si="4"/>
        <v>600</v>
      </c>
      <c r="AA32" s="10" t="s">
        <v>26</v>
      </c>
      <c r="AB32" s="376">
        <v>0.5</v>
      </c>
      <c r="AC32" s="138" t="s">
        <v>26</v>
      </c>
      <c r="AD32" s="138" t="s">
        <v>26</v>
      </c>
      <c r="AE32" s="220">
        <v>0.4</v>
      </c>
      <c r="AF32" s="138" t="s">
        <v>26</v>
      </c>
      <c r="AG32" s="325" t="s">
        <v>26</v>
      </c>
      <c r="AH32" s="378" t="s">
        <v>26</v>
      </c>
      <c r="AI32" s="326" t="s">
        <v>26</v>
      </c>
      <c r="AJ32" s="324" t="s">
        <v>26</v>
      </c>
      <c r="AK32" s="21" t="s">
        <v>26</v>
      </c>
      <c r="AL32" s="334" t="s">
        <v>26</v>
      </c>
      <c r="AM32" s="334"/>
      <c r="AN32" s="334"/>
      <c r="AO32" s="334"/>
      <c r="AP32" s="7"/>
      <c r="AQ32" s="35"/>
      <c r="AR32" s="31"/>
      <c r="AS32" s="853"/>
      <c r="AT32" s="36"/>
      <c r="AU32" s="36"/>
    </row>
    <row r="33" spans="1:47" ht="15" hidden="1" thickBot="1" x14ac:dyDescent="0.35">
      <c r="A33" s="1181"/>
      <c r="B33" s="47">
        <v>114.5</v>
      </c>
      <c r="C33" s="135">
        <v>7.68</v>
      </c>
      <c r="D33" s="139">
        <v>15.17</v>
      </c>
      <c r="E33" s="139">
        <f>18.1*10</f>
        <v>181</v>
      </c>
      <c r="F33" s="54" t="s">
        <v>26</v>
      </c>
      <c r="G33" s="47">
        <f>110*5</f>
        <v>550</v>
      </c>
      <c r="H33" s="135">
        <v>10.77</v>
      </c>
      <c r="I33" s="139">
        <v>27.2</v>
      </c>
      <c r="J33" s="139">
        <f>36.2*10</f>
        <v>362</v>
      </c>
      <c r="K33" s="47" t="s">
        <v>26</v>
      </c>
      <c r="L33" s="135">
        <v>29.6</v>
      </c>
      <c r="M33" s="129">
        <v>84.2</v>
      </c>
      <c r="N33" s="47" t="s">
        <v>26</v>
      </c>
      <c r="O33" s="135" t="s">
        <v>26</v>
      </c>
      <c r="P33" s="129" t="s">
        <v>26</v>
      </c>
      <c r="Q33" s="47" t="s">
        <v>26</v>
      </c>
      <c r="R33" s="162">
        <v>-0.32200000000000001</v>
      </c>
      <c r="S33" s="53">
        <v>-0.44900000000000001</v>
      </c>
      <c r="T33" s="53"/>
      <c r="U33" s="47"/>
      <c r="V33" s="1084"/>
      <c r="W33" s="553" t="s">
        <v>49</v>
      </c>
      <c r="X33" s="551"/>
      <c r="Y33" s="420">
        <v>1</v>
      </c>
      <c r="Z33" s="126">
        <f t="shared" si="4"/>
        <v>181</v>
      </c>
      <c r="AA33" s="117" t="s">
        <v>26</v>
      </c>
      <c r="AB33" s="379">
        <v>0.5</v>
      </c>
      <c r="AC33" s="335">
        <f>$AB33*J33</f>
        <v>181</v>
      </c>
      <c r="AD33" s="337" t="s">
        <v>26</v>
      </c>
      <c r="AE33" s="221">
        <v>0.4</v>
      </c>
      <c r="AF33" s="139">
        <f>$AE33*M33</f>
        <v>33.68</v>
      </c>
      <c r="AG33" s="337" t="s">
        <v>26</v>
      </c>
      <c r="AH33" s="382" t="s">
        <v>26</v>
      </c>
      <c r="AI33" s="381" t="s">
        <v>26</v>
      </c>
      <c r="AJ33" s="404">
        <f>Z33+AC33+AF33</f>
        <v>395.68</v>
      </c>
      <c r="AK33" s="300" t="s">
        <v>26</v>
      </c>
      <c r="AL33" s="338">
        <f t="shared" ref="AL33" si="5">AJ33-$AJ$30</f>
        <v>-714.31999999999994</v>
      </c>
      <c r="AM33" s="338"/>
      <c r="AN33" s="338"/>
      <c r="AO33" s="338"/>
      <c r="AP33" s="339">
        <f>(AF33)/Z30</f>
        <v>3.0342342342342343E-2</v>
      </c>
      <c r="AQ33" s="430"/>
      <c r="AR33" s="249">
        <f>(Z30-Z33)/Z30</f>
        <v>0.83693693693693694</v>
      </c>
      <c r="AS33" s="855"/>
      <c r="AT33" s="555"/>
      <c r="AU33" s="555">
        <f>((G30+$T$2)-G33)/(1000*(B33/24))</f>
        <v>0.87091703056768566</v>
      </c>
    </row>
    <row r="34" spans="1:47" ht="15.6" hidden="1" thickTop="1" thickBot="1" x14ac:dyDescent="0.35">
      <c r="A34" s="1179">
        <v>8</v>
      </c>
      <c r="B34" s="144">
        <v>0</v>
      </c>
      <c r="C34" s="145">
        <v>7.58</v>
      </c>
      <c r="D34" s="155">
        <v>19.47</v>
      </c>
      <c r="E34" s="155">
        <f>101.5*10</f>
        <v>1015</v>
      </c>
      <c r="F34" s="184" t="s">
        <v>26</v>
      </c>
      <c r="G34" s="144">
        <f>389*5</f>
        <v>1945</v>
      </c>
      <c r="H34" s="181">
        <v>7.19</v>
      </c>
      <c r="I34" s="155">
        <v>19.27</v>
      </c>
      <c r="J34" s="186">
        <v>0</v>
      </c>
      <c r="K34" s="195">
        <v>0</v>
      </c>
      <c r="L34" s="145" t="s">
        <v>26</v>
      </c>
      <c r="M34" s="184">
        <v>0</v>
      </c>
      <c r="N34" s="195">
        <v>0</v>
      </c>
      <c r="O34" s="145" t="s">
        <v>26</v>
      </c>
      <c r="P34" s="184">
        <v>0</v>
      </c>
      <c r="Q34" s="195">
        <v>0</v>
      </c>
      <c r="R34" s="182" t="s">
        <v>26</v>
      </c>
      <c r="S34" s="183" t="s">
        <v>26</v>
      </c>
      <c r="T34" s="183"/>
      <c r="U34" s="116" t="s">
        <v>26</v>
      </c>
      <c r="V34" s="1123">
        <v>300</v>
      </c>
      <c r="W34" s="683" t="s">
        <v>55</v>
      </c>
      <c r="X34" s="68"/>
      <c r="Y34" s="689">
        <v>1</v>
      </c>
      <c r="Z34" s="690">
        <f t="shared" si="4"/>
        <v>1015</v>
      </c>
      <c r="AA34" s="691" t="s">
        <v>26</v>
      </c>
      <c r="AB34" s="687">
        <v>0.17</v>
      </c>
      <c r="AC34" s="323">
        <f>$AB34*J34</f>
        <v>0</v>
      </c>
      <c r="AD34" s="331" t="s">
        <v>26</v>
      </c>
      <c r="AE34" s="328">
        <v>0.4</v>
      </c>
      <c r="AF34" s="323">
        <f>$AE34*M34</f>
        <v>0</v>
      </c>
      <c r="AG34" s="331" t="s">
        <v>26</v>
      </c>
      <c r="AH34" s="383">
        <f>$AE34*P34</f>
        <v>0</v>
      </c>
      <c r="AI34" s="406" t="s">
        <v>26</v>
      </c>
      <c r="AJ34" s="363">
        <f>Z34+AC34+AF34+AH34</f>
        <v>1015</v>
      </c>
      <c r="AK34" s="407">
        <f>AJ34</f>
        <v>1015</v>
      </c>
      <c r="AL34" s="331">
        <f>AJ34-$AJ$34</f>
        <v>0</v>
      </c>
      <c r="AM34" s="331"/>
      <c r="AN34" s="331"/>
      <c r="AO34" s="331"/>
      <c r="AP34" s="167"/>
      <c r="AQ34" s="168"/>
      <c r="AR34" s="169"/>
      <c r="AS34" s="858"/>
      <c r="AT34" s="560"/>
      <c r="AU34" s="340"/>
    </row>
    <row r="35" spans="1:47" ht="15" hidden="1" thickBot="1" x14ac:dyDescent="0.35">
      <c r="A35" s="1180"/>
      <c r="B35" s="124">
        <v>23</v>
      </c>
      <c r="C35" s="125">
        <v>7.79</v>
      </c>
      <c r="D35" s="126">
        <v>18.45</v>
      </c>
      <c r="E35" s="127">
        <v>712</v>
      </c>
      <c r="F35" s="127" t="s">
        <v>26</v>
      </c>
      <c r="G35" s="117">
        <f>263*5</f>
        <v>1315</v>
      </c>
      <c r="H35" s="147" t="s">
        <v>26</v>
      </c>
      <c r="I35" s="127" t="s">
        <v>26</v>
      </c>
      <c r="J35" s="127" t="s">
        <v>26</v>
      </c>
      <c r="K35" s="117" t="s">
        <v>26</v>
      </c>
      <c r="L35" s="128" t="s">
        <v>26</v>
      </c>
      <c r="M35" s="128" t="s">
        <v>26</v>
      </c>
      <c r="N35" s="117" t="s">
        <v>26</v>
      </c>
      <c r="O35" s="147" t="s">
        <v>26</v>
      </c>
      <c r="P35" s="128" t="s">
        <v>26</v>
      </c>
      <c r="Q35" s="117" t="s">
        <v>26</v>
      </c>
      <c r="R35" s="125">
        <v>0.249</v>
      </c>
      <c r="S35" s="127">
        <v>-0.32300000000000001</v>
      </c>
      <c r="T35" s="161"/>
      <c r="U35" s="117" t="s">
        <v>26</v>
      </c>
      <c r="V35" s="1124"/>
      <c r="W35" s="684" t="s">
        <v>43</v>
      </c>
      <c r="X35" s="68"/>
      <c r="Y35" s="692">
        <v>1</v>
      </c>
      <c r="Z35" s="138">
        <f t="shared" si="4"/>
        <v>712</v>
      </c>
      <c r="AA35" s="693" t="s">
        <v>26</v>
      </c>
      <c r="AB35" s="377" t="s">
        <v>26</v>
      </c>
      <c r="AC35" s="138" t="s">
        <v>26</v>
      </c>
      <c r="AD35" s="334" t="s">
        <v>26</v>
      </c>
      <c r="AE35" s="220">
        <v>0.4</v>
      </c>
      <c r="AF35" s="138" t="s">
        <v>26</v>
      </c>
      <c r="AG35" s="334" t="s">
        <v>26</v>
      </c>
      <c r="AH35" s="270" t="s">
        <v>26</v>
      </c>
      <c r="AI35" s="384" t="s">
        <v>26</v>
      </c>
      <c r="AJ35" s="324" t="s">
        <v>26</v>
      </c>
      <c r="AK35" s="21" t="s">
        <v>26</v>
      </c>
      <c r="AL35" s="334" t="s">
        <v>26</v>
      </c>
      <c r="AM35" s="334"/>
      <c r="AN35" s="334"/>
      <c r="AO35" s="334"/>
      <c r="AP35" s="7"/>
      <c r="AQ35" s="35"/>
      <c r="AR35" s="31"/>
      <c r="AS35" s="859"/>
      <c r="AT35" s="561"/>
      <c r="AU35" s="778"/>
    </row>
    <row r="36" spans="1:47" ht="15" hidden="1" thickBot="1" x14ac:dyDescent="0.35">
      <c r="A36" s="1180"/>
      <c r="B36" s="10">
        <v>47</v>
      </c>
      <c r="C36" s="146">
        <v>7.89</v>
      </c>
      <c r="D36" s="138">
        <v>17.010000000000002</v>
      </c>
      <c r="E36" s="138">
        <v>530</v>
      </c>
      <c r="F36" s="6" t="s">
        <v>26</v>
      </c>
      <c r="G36" s="10">
        <f>98.7*5</f>
        <v>493.5</v>
      </c>
      <c r="H36" s="146" t="s">
        <v>26</v>
      </c>
      <c r="I36" s="138" t="s">
        <v>26</v>
      </c>
      <c r="J36" s="138" t="s">
        <v>26</v>
      </c>
      <c r="K36" s="117" t="s">
        <v>26</v>
      </c>
      <c r="L36" s="146" t="s">
        <v>26</v>
      </c>
      <c r="M36" s="128" t="s">
        <v>26</v>
      </c>
      <c r="N36" s="117" t="s">
        <v>26</v>
      </c>
      <c r="O36" s="146" t="s">
        <v>26</v>
      </c>
      <c r="P36" s="128" t="s">
        <v>26</v>
      </c>
      <c r="Q36" s="117" t="s">
        <v>26</v>
      </c>
      <c r="R36" s="160">
        <v>-0.22539999999999999</v>
      </c>
      <c r="S36" s="161">
        <v>-0.30420000000000003</v>
      </c>
      <c r="T36" s="161"/>
      <c r="U36" s="117">
        <v>27.51</v>
      </c>
      <c r="V36" s="1124"/>
      <c r="W36" s="684" t="s">
        <v>43</v>
      </c>
      <c r="X36" s="68"/>
      <c r="Y36" s="692">
        <v>1</v>
      </c>
      <c r="Z36" s="138">
        <f t="shared" si="4"/>
        <v>530</v>
      </c>
      <c r="AA36" s="693" t="s">
        <v>26</v>
      </c>
      <c r="AB36" s="377" t="s">
        <v>26</v>
      </c>
      <c r="AC36" s="138" t="s">
        <v>26</v>
      </c>
      <c r="AD36" s="334" t="s">
        <v>26</v>
      </c>
      <c r="AE36" s="220">
        <v>0.4</v>
      </c>
      <c r="AF36" s="138" t="s">
        <v>26</v>
      </c>
      <c r="AG36" s="334" t="s">
        <v>26</v>
      </c>
      <c r="AH36" s="270" t="s">
        <v>26</v>
      </c>
      <c r="AI36" s="384" t="s">
        <v>26</v>
      </c>
      <c r="AJ36" s="324" t="s">
        <v>26</v>
      </c>
      <c r="AK36" s="21" t="s">
        <v>26</v>
      </c>
      <c r="AL36" s="334" t="s">
        <v>26</v>
      </c>
      <c r="AM36" s="334"/>
      <c r="AN36" s="334"/>
      <c r="AO36" s="334"/>
      <c r="AP36" s="7"/>
      <c r="AQ36" s="35"/>
      <c r="AR36" s="31"/>
      <c r="AS36" s="853"/>
      <c r="AT36" s="36"/>
      <c r="AU36" s="779"/>
    </row>
    <row r="37" spans="1:47" ht="46.2" hidden="1" thickBot="1" x14ac:dyDescent="0.35">
      <c r="A37" s="1182"/>
      <c r="B37" s="674">
        <v>119</v>
      </c>
      <c r="C37" s="679">
        <v>7.99</v>
      </c>
      <c r="D37" s="676">
        <v>16.05</v>
      </c>
      <c r="E37" s="676">
        <v>205</v>
      </c>
      <c r="F37" s="677">
        <v>222</v>
      </c>
      <c r="G37" s="674">
        <f>63.5*5</f>
        <v>317.5</v>
      </c>
      <c r="H37" s="679">
        <v>10.59</v>
      </c>
      <c r="I37" s="676">
        <v>40.9</v>
      </c>
      <c r="J37" s="676">
        <v>227</v>
      </c>
      <c r="K37" s="674">
        <v>293</v>
      </c>
      <c r="L37" s="679">
        <v>28.6</v>
      </c>
      <c r="M37" s="678">
        <v>54.4</v>
      </c>
      <c r="N37" s="674">
        <v>55.2</v>
      </c>
      <c r="O37" s="679">
        <v>52.8</v>
      </c>
      <c r="P37" s="678">
        <v>60.5</v>
      </c>
      <c r="Q37" s="771" t="s">
        <v>61</v>
      </c>
      <c r="R37" s="772" t="s">
        <v>26</v>
      </c>
      <c r="S37" s="773" t="s">
        <v>26</v>
      </c>
      <c r="T37" s="773"/>
      <c r="U37" s="674">
        <v>2.97</v>
      </c>
      <c r="V37" s="1125"/>
      <c r="W37" s="775" t="s">
        <v>82</v>
      </c>
      <c r="X37" s="68"/>
      <c r="Y37" s="701">
        <v>1</v>
      </c>
      <c r="Z37" s="676">
        <f t="shared" si="4"/>
        <v>205</v>
      </c>
      <c r="AA37" s="702">
        <f>$Y37*F37</f>
        <v>222</v>
      </c>
      <c r="AB37" s="803">
        <v>0.1</v>
      </c>
      <c r="AC37" s="126">
        <f>$AB37*J37</f>
        <v>22.700000000000003</v>
      </c>
      <c r="AD37" s="117">
        <f>$AB37*K37</f>
        <v>29.3</v>
      </c>
      <c r="AE37" s="705">
        <v>0.4</v>
      </c>
      <c r="AF37" s="676">
        <f>$AE37*M37</f>
        <v>21.76</v>
      </c>
      <c r="AG37" s="676">
        <f>$AE37*N37</f>
        <v>22.080000000000002</v>
      </c>
      <c r="AH37" s="738">
        <f>$AE37*P37</f>
        <v>24.200000000000003</v>
      </c>
      <c r="AI37" s="706">
        <f>AE37*150</f>
        <v>60</v>
      </c>
      <c r="AJ37" s="707">
        <f>Z37+AC37+AF37+AH37</f>
        <v>273.65999999999997</v>
      </c>
      <c r="AK37" s="777">
        <f>AA37+AD37+AG37+AI37</f>
        <v>333.38</v>
      </c>
      <c r="AL37" s="708">
        <f t="shared" ref="AL37" si="6">AJ37-$AJ$34</f>
        <v>-741.34</v>
      </c>
      <c r="AM37" s="708"/>
      <c r="AN37" s="708"/>
      <c r="AO37" s="708"/>
      <c r="AP37" s="709">
        <f>(AF37+AH37)/Z34</f>
        <v>4.5280788177339909E-2</v>
      </c>
      <c r="AQ37" s="730"/>
      <c r="AR37" s="710">
        <f>(Z34-Z37)/Z34</f>
        <v>0.79802955665024633</v>
      </c>
      <c r="AS37" s="860"/>
      <c r="AT37" s="562"/>
      <c r="AU37" s="813">
        <f>((G34+$T$2)-G37)/(1000*(B37/24))</f>
        <v>0.89294117647058824</v>
      </c>
    </row>
    <row r="38" spans="1:47" s="299" customFormat="1" ht="15" thickTop="1" x14ac:dyDescent="0.3">
      <c r="A38" s="1080">
        <v>9</v>
      </c>
      <c r="B38" s="541">
        <v>0</v>
      </c>
      <c r="C38" s="618">
        <v>7.61</v>
      </c>
      <c r="D38" s="543">
        <v>20.440000000000001</v>
      </c>
      <c r="E38" s="543">
        <v>1090</v>
      </c>
      <c r="F38" s="618">
        <f>53*20</f>
        <v>1060</v>
      </c>
      <c r="G38" s="618">
        <f>401*5</f>
        <v>2005</v>
      </c>
      <c r="H38" s="665">
        <v>7.58</v>
      </c>
      <c r="I38" s="666">
        <v>20.100000000000001</v>
      </c>
      <c r="J38" s="666">
        <v>0</v>
      </c>
      <c r="K38" s="668">
        <v>0</v>
      </c>
      <c r="L38" s="770" t="s">
        <v>26</v>
      </c>
      <c r="M38" s="569" t="s">
        <v>26</v>
      </c>
      <c r="N38" s="541" t="s">
        <v>26</v>
      </c>
      <c r="O38" s="672" t="s">
        <v>26</v>
      </c>
      <c r="P38" s="618" t="s">
        <v>26</v>
      </c>
      <c r="Q38" s="541" t="s">
        <v>26</v>
      </c>
      <c r="R38" s="672" t="s">
        <v>26</v>
      </c>
      <c r="S38" s="666" t="s">
        <v>26</v>
      </c>
      <c r="T38" s="666" t="s">
        <v>26</v>
      </c>
      <c r="U38" s="541" t="s">
        <v>26</v>
      </c>
      <c r="V38" s="1083">
        <v>150</v>
      </c>
      <c r="W38" s="975" t="s">
        <v>126</v>
      </c>
      <c r="X38" s="774"/>
      <c r="Y38" s="688">
        <v>0.98</v>
      </c>
      <c r="Z38" s="569">
        <f>($Y38*E38)+AN38</f>
        <v>1090</v>
      </c>
      <c r="AA38" s="649">
        <f>($Y38*F38)+(0.02*F38)</f>
        <v>1060</v>
      </c>
      <c r="AB38" s="804">
        <v>0.48</v>
      </c>
      <c r="AC38" s="805">
        <f>(AB38*J38)*(0.02*J38)</f>
        <v>0</v>
      </c>
      <c r="AD38" s="806">
        <f>(AB38*K38)+(0.02*K38)</f>
        <v>0</v>
      </c>
      <c r="AE38" s="802">
        <v>0.5</v>
      </c>
      <c r="AF38" s="670">
        <v>0</v>
      </c>
      <c r="AG38" s="670">
        <v>0</v>
      </c>
      <c r="AH38" s="703">
        <v>0</v>
      </c>
      <c r="AI38" s="776">
        <v>0</v>
      </c>
      <c r="AJ38" s="704">
        <f>Z38+AC38+AF38+AH38</f>
        <v>1090</v>
      </c>
      <c r="AK38" s="739">
        <f>AA38+AD38+AG38+AI38</f>
        <v>1060</v>
      </c>
      <c r="AL38" s="703" t="s">
        <v>26</v>
      </c>
      <c r="AM38" s="703" t="s">
        <v>26</v>
      </c>
      <c r="AN38" s="79">
        <f>0.02*E38</f>
        <v>21.8</v>
      </c>
      <c r="AO38" s="652"/>
      <c r="AP38" s="652"/>
      <c r="AQ38" s="653"/>
      <c r="AR38" s="653"/>
      <c r="AS38" s="892"/>
      <c r="AT38" s="893"/>
      <c r="AU38" s="894"/>
    </row>
    <row r="39" spans="1:47" x14ac:dyDescent="0.3">
      <c r="A39" s="1080"/>
      <c r="B39" s="117">
        <v>23.5</v>
      </c>
      <c r="C39" s="113">
        <v>7.87</v>
      </c>
      <c r="D39" s="138">
        <v>18.98</v>
      </c>
      <c r="E39" s="6">
        <v>785</v>
      </c>
      <c r="F39" s="127" t="s">
        <v>26</v>
      </c>
      <c r="G39" s="117">
        <f>350*5</f>
        <v>1750</v>
      </c>
      <c r="H39" s="113" t="s">
        <v>26</v>
      </c>
      <c r="I39" s="6" t="s">
        <v>26</v>
      </c>
      <c r="J39" s="127" t="s">
        <v>26</v>
      </c>
      <c r="K39" s="117" t="s">
        <v>26</v>
      </c>
      <c r="L39" s="118" t="s">
        <v>26</v>
      </c>
      <c r="M39" s="127" t="s">
        <v>26</v>
      </c>
      <c r="N39" s="117" t="s">
        <v>26</v>
      </c>
      <c r="O39" s="118" t="s">
        <v>26</v>
      </c>
      <c r="P39" s="126" t="s">
        <v>26</v>
      </c>
      <c r="Q39" s="117" t="s">
        <v>26</v>
      </c>
      <c r="R39" s="113" t="s">
        <v>26</v>
      </c>
      <c r="S39" s="6" t="s">
        <v>26</v>
      </c>
      <c r="T39" s="6" t="s">
        <v>26</v>
      </c>
      <c r="U39" s="117" t="s">
        <v>26</v>
      </c>
      <c r="V39" s="1083"/>
      <c r="W39" s="976" t="s">
        <v>126</v>
      </c>
      <c r="X39" s="729"/>
      <c r="Y39" s="419">
        <f>Y38-0.02</f>
        <v>0.96</v>
      </c>
      <c r="Z39" s="138">
        <f>($Y39*E39)+SUM(AN38:AN39)</f>
        <v>791.1</v>
      </c>
      <c r="AA39" s="6" t="s">
        <v>26</v>
      </c>
      <c r="AB39" s="807" t="s">
        <v>26</v>
      </c>
      <c r="AC39" s="138" t="s">
        <v>26</v>
      </c>
      <c r="AD39" s="800" t="s">
        <v>26</v>
      </c>
      <c r="AE39" s="364">
        <v>0.5</v>
      </c>
      <c r="AF39" s="325" t="s">
        <v>26</v>
      </c>
      <c r="AG39" s="325" t="s">
        <v>26</v>
      </c>
      <c r="AH39" s="334" t="s">
        <v>26</v>
      </c>
      <c r="AI39" s="384" t="s">
        <v>26</v>
      </c>
      <c r="AJ39" s="333" t="s">
        <v>26</v>
      </c>
      <c r="AK39" s="21" t="s">
        <v>26</v>
      </c>
      <c r="AL39" s="325" t="s">
        <v>26</v>
      </c>
      <c r="AM39" s="325" t="s">
        <v>26</v>
      </c>
      <c r="AN39" s="325">
        <f t="shared" ref="AN39:AN79" si="7">0.02*E39</f>
        <v>15.700000000000001</v>
      </c>
      <c r="AO39" s="7"/>
      <c r="AP39" s="7"/>
      <c r="AQ39" s="35"/>
      <c r="AR39" s="35"/>
      <c r="AS39" s="43"/>
      <c r="AT39" s="895"/>
      <c r="AU39" s="896"/>
    </row>
    <row r="40" spans="1:47" s="311" customFormat="1" ht="15" thickBot="1" x14ac:dyDescent="0.35">
      <c r="A40" s="1081"/>
      <c r="B40" s="305">
        <v>96</v>
      </c>
      <c r="C40" s="306">
        <v>7.93</v>
      </c>
      <c r="D40" s="307">
        <v>18.7</v>
      </c>
      <c r="E40" s="308">
        <v>466</v>
      </c>
      <c r="F40" s="308">
        <v>489</v>
      </c>
      <c r="G40" s="305">
        <v>1505</v>
      </c>
      <c r="H40" s="306">
        <v>10.87</v>
      </c>
      <c r="I40" s="308">
        <v>23.2</v>
      </c>
      <c r="J40" s="308">
        <v>557</v>
      </c>
      <c r="K40" s="305">
        <v>712</v>
      </c>
      <c r="L40" s="309">
        <v>42.6</v>
      </c>
      <c r="M40" s="308">
        <v>310</v>
      </c>
      <c r="N40" s="305">
        <f>29.8*2</f>
        <v>59.6</v>
      </c>
      <c r="O40" s="309">
        <v>51.7</v>
      </c>
      <c r="P40" s="307">
        <v>0.14699999999999999</v>
      </c>
      <c r="Q40" s="305">
        <v>4.18</v>
      </c>
      <c r="R40" s="306" t="s">
        <v>26</v>
      </c>
      <c r="S40" s="308" t="s">
        <v>26</v>
      </c>
      <c r="T40" s="308">
        <v>0.2</v>
      </c>
      <c r="U40" s="305">
        <v>16.100000000000001</v>
      </c>
      <c r="V40" s="1084"/>
      <c r="W40" s="310" t="s">
        <v>86</v>
      </c>
      <c r="X40" s="811"/>
      <c r="Y40" s="417">
        <f>Y39</f>
        <v>0.96</v>
      </c>
      <c r="Z40" s="307">
        <f>($Y40*E40)+SUM(AN38:AN39)</f>
        <v>484.85999999999996</v>
      </c>
      <c r="AA40" s="308">
        <f>($Y40*F40)+(0.02*F38)</f>
        <v>490.64</v>
      </c>
      <c r="AB40" s="808">
        <v>0.48</v>
      </c>
      <c r="AC40" s="809">
        <f>(AB40*J40)+(0.02*J38)</f>
        <v>267.36</v>
      </c>
      <c r="AD40" s="810">
        <f>(AB40*K40)+(0.02*K38)</f>
        <v>341.76</v>
      </c>
      <c r="AE40" s="482">
        <v>0.5</v>
      </c>
      <c r="AF40" s="483">
        <f>$AE40*M40</f>
        <v>155</v>
      </c>
      <c r="AG40" s="483">
        <f>$AE40*N40</f>
        <v>29.8</v>
      </c>
      <c r="AH40" s="426">
        <f>$AE40*P40</f>
        <v>7.3499999999999996E-2</v>
      </c>
      <c r="AI40" s="427">
        <f>AE40*Q40</f>
        <v>2.09</v>
      </c>
      <c r="AJ40" s="409">
        <f>Z40+AC40+AF40+AH40</f>
        <v>907.29349999999999</v>
      </c>
      <c r="AK40" s="313">
        <f>AA40+AD40+AG40+AI40</f>
        <v>864.29</v>
      </c>
      <c r="AL40" s="388">
        <f>AJ40-AJ38</f>
        <v>-182.70650000000001</v>
      </c>
      <c r="AM40" s="388">
        <f>AK40-AK38</f>
        <v>-195.71000000000004</v>
      </c>
      <c r="AN40" s="388" t="s">
        <v>26</v>
      </c>
      <c r="AO40" s="388">
        <f>(AF40+AH40)*10/100/(B40/24)</f>
        <v>3.8768374999999997</v>
      </c>
      <c r="AP40" s="389">
        <f>(AF40+AH40)/Z38</f>
        <v>0.14226926605504586</v>
      </c>
      <c r="AQ40" s="432">
        <f>(Z38-Z40)*10/100/(B40/24)</f>
        <v>15.128500000000004</v>
      </c>
      <c r="AR40" s="812">
        <f>(Z38-Z40)/Z38</f>
        <v>0.5551743119266056</v>
      </c>
      <c r="AS40" s="812">
        <f>((AC40+AF40)-AC38)/Z38</f>
        <v>0.38748623853211012</v>
      </c>
      <c r="AT40" s="897">
        <f>((G38-G40)*10000)/(1000*1000*100*(B40/24))</f>
        <v>1.2500000000000001E-2</v>
      </c>
      <c r="AU40" s="898">
        <f>(G38-G40)/(1000*(B40/24))</f>
        <v>0.125</v>
      </c>
    </row>
    <row r="41" spans="1:47" ht="15" thickTop="1" x14ac:dyDescent="0.3">
      <c r="A41" s="1150">
        <v>10</v>
      </c>
      <c r="B41" s="117">
        <v>0</v>
      </c>
      <c r="C41" s="230">
        <v>7.56</v>
      </c>
      <c r="D41" s="126">
        <v>19.7</v>
      </c>
      <c r="E41" s="126">
        <v>1140</v>
      </c>
      <c r="F41" s="230">
        <f>65.2*20</f>
        <v>1304</v>
      </c>
      <c r="G41" s="230">
        <f>388*5</f>
        <v>1940</v>
      </c>
      <c r="H41" s="211">
        <v>7.58</v>
      </c>
      <c r="I41" s="127">
        <v>20.100000000000001</v>
      </c>
      <c r="J41" s="127">
        <v>0</v>
      </c>
      <c r="K41" s="117">
        <v>0</v>
      </c>
      <c r="L41" s="228" t="s">
        <v>26</v>
      </c>
      <c r="M41" s="138" t="s">
        <v>26</v>
      </c>
      <c r="N41" s="117" t="s">
        <v>26</v>
      </c>
      <c r="O41" s="229" t="s">
        <v>26</v>
      </c>
      <c r="P41" s="230" t="s">
        <v>26</v>
      </c>
      <c r="Q41" s="117" t="s">
        <v>26</v>
      </c>
      <c r="R41" s="229" t="s">
        <v>26</v>
      </c>
      <c r="S41" s="127" t="s">
        <v>26</v>
      </c>
      <c r="T41" s="127" t="s">
        <v>26</v>
      </c>
      <c r="U41" s="117" t="s">
        <v>26</v>
      </c>
      <c r="V41" s="1132">
        <v>150</v>
      </c>
      <c r="W41" s="977" t="s">
        <v>126</v>
      </c>
      <c r="X41" s="553"/>
      <c r="Y41" s="416">
        <v>0.98</v>
      </c>
      <c r="Z41" s="38">
        <f>($Y41*E41)+AN41</f>
        <v>1140</v>
      </c>
      <c r="AA41" s="38">
        <f>($Y41*F41)+(0.02*F41)</f>
        <v>1304</v>
      </c>
      <c r="AB41" s="418">
        <v>0.48</v>
      </c>
      <c r="AC41" s="38">
        <f>(AB41*J41)+(0.02*J41)</f>
        <v>0</v>
      </c>
      <c r="AD41" s="38">
        <f>(AB41*K41)+(0.02*K41)</f>
        <v>0</v>
      </c>
      <c r="AE41" s="514">
        <v>0.5</v>
      </c>
      <c r="AF41" s="79">
        <v>0</v>
      </c>
      <c r="AG41" s="79">
        <v>0</v>
      </c>
      <c r="AH41" s="394">
        <v>0</v>
      </c>
      <c r="AI41" s="424">
        <v>0</v>
      </c>
      <c r="AJ41" s="393">
        <f>Z41+AC41+AF41+AH41</f>
        <v>1140</v>
      </c>
      <c r="AK41" s="410">
        <f>AA41+AD41+AG41+AI41</f>
        <v>1304</v>
      </c>
      <c r="AL41" s="394" t="s">
        <v>26</v>
      </c>
      <c r="AM41" s="394" t="s">
        <v>26</v>
      </c>
      <c r="AN41" s="325">
        <f t="shared" si="7"/>
        <v>22.8</v>
      </c>
      <c r="AO41" s="42"/>
      <c r="AP41" s="42"/>
      <c r="AQ41" s="43"/>
      <c r="AR41" s="43"/>
      <c r="AS41" s="168"/>
      <c r="AT41" s="849"/>
      <c r="AU41" s="899"/>
    </row>
    <row r="42" spans="1:47" x14ac:dyDescent="0.3">
      <c r="A42" s="1080"/>
      <c r="B42" s="117">
        <v>25.5</v>
      </c>
      <c r="C42" s="113">
        <v>7.66</v>
      </c>
      <c r="D42" s="138">
        <v>17.64</v>
      </c>
      <c r="E42" s="6">
        <v>689</v>
      </c>
      <c r="F42" s="127" t="s">
        <v>26</v>
      </c>
      <c r="G42" s="117">
        <f>241*5</f>
        <v>1205</v>
      </c>
      <c r="H42" s="113" t="s">
        <v>26</v>
      </c>
      <c r="I42" s="6" t="s">
        <v>26</v>
      </c>
      <c r="J42" s="127" t="s">
        <v>26</v>
      </c>
      <c r="K42" s="117" t="s">
        <v>26</v>
      </c>
      <c r="L42" s="118" t="s">
        <v>26</v>
      </c>
      <c r="M42" s="127" t="s">
        <v>26</v>
      </c>
      <c r="N42" s="117" t="s">
        <v>26</v>
      </c>
      <c r="O42" s="118" t="s">
        <v>26</v>
      </c>
      <c r="P42" s="126" t="s">
        <v>26</v>
      </c>
      <c r="Q42" s="117" t="s">
        <v>26</v>
      </c>
      <c r="R42" s="113" t="s">
        <v>26</v>
      </c>
      <c r="S42" s="6" t="s">
        <v>26</v>
      </c>
      <c r="T42" s="6" t="s">
        <v>26</v>
      </c>
      <c r="U42" s="117" t="s">
        <v>26</v>
      </c>
      <c r="V42" s="1083"/>
      <c r="W42" s="978" t="s">
        <v>126</v>
      </c>
      <c r="X42" s="553"/>
      <c r="Y42" s="419">
        <f>Y41-0.02</f>
        <v>0.96</v>
      </c>
      <c r="Z42" s="32">
        <f>($Y42*E42)+SUM(AN41:AN42)</f>
        <v>698.02</v>
      </c>
      <c r="AA42" s="138" t="s">
        <v>26</v>
      </c>
      <c r="AB42" s="376" t="s">
        <v>26</v>
      </c>
      <c r="AC42" s="138" t="s">
        <v>26</v>
      </c>
      <c r="AD42" s="138" t="s">
        <v>26</v>
      </c>
      <c r="AE42" s="333">
        <v>0.5</v>
      </c>
      <c r="AF42" s="325" t="s">
        <v>26</v>
      </c>
      <c r="AG42" s="325" t="s">
        <v>26</v>
      </c>
      <c r="AH42" s="334" t="s">
        <v>26</v>
      </c>
      <c r="AI42" s="384" t="s">
        <v>26</v>
      </c>
      <c r="AJ42" s="333" t="s">
        <v>26</v>
      </c>
      <c r="AK42" s="21" t="s">
        <v>26</v>
      </c>
      <c r="AL42" s="325" t="s">
        <v>26</v>
      </c>
      <c r="AM42" s="325" t="s">
        <v>26</v>
      </c>
      <c r="AN42" s="325">
        <f t="shared" si="7"/>
        <v>13.780000000000001</v>
      </c>
      <c r="AO42" s="7"/>
      <c r="AP42" s="7"/>
      <c r="AQ42" s="35"/>
      <c r="AR42" s="35"/>
      <c r="AS42" s="35"/>
      <c r="AT42" s="30"/>
      <c r="AU42" s="31"/>
    </row>
    <row r="43" spans="1:47" ht="28.8" x14ac:dyDescent="0.3">
      <c r="A43" s="1080"/>
      <c r="B43" s="117" t="s">
        <v>140</v>
      </c>
      <c r="C43" s="230">
        <v>7.65</v>
      </c>
      <c r="D43" s="126">
        <v>21.05</v>
      </c>
      <c r="E43" s="127">
        <v>629</v>
      </c>
      <c r="F43" s="127" t="s">
        <v>26</v>
      </c>
      <c r="G43" s="117">
        <f>891*2</f>
        <v>1782</v>
      </c>
      <c r="H43" s="230" t="s">
        <v>26</v>
      </c>
      <c r="I43" s="127" t="s">
        <v>26</v>
      </c>
      <c r="J43" s="127" t="s">
        <v>26</v>
      </c>
      <c r="K43" s="117" t="s">
        <v>26</v>
      </c>
      <c r="L43" s="128" t="s">
        <v>26</v>
      </c>
      <c r="M43" s="127" t="s">
        <v>26</v>
      </c>
      <c r="N43" s="117" t="s">
        <v>26</v>
      </c>
      <c r="O43" s="128" t="s">
        <v>26</v>
      </c>
      <c r="P43" s="126" t="s">
        <v>26</v>
      </c>
      <c r="Q43" s="117" t="s">
        <v>26</v>
      </c>
      <c r="R43" s="230">
        <v>-0.3412</v>
      </c>
      <c r="S43" s="127">
        <v>-0.50590000000000002</v>
      </c>
      <c r="T43" s="127" t="s">
        <v>26</v>
      </c>
      <c r="U43" s="117" t="s">
        <v>26</v>
      </c>
      <c r="V43" s="1083"/>
      <c r="W43" s="979" t="s">
        <v>189</v>
      </c>
      <c r="X43" s="553"/>
      <c r="Y43" s="419">
        <f>Y42-0.02</f>
        <v>0.94</v>
      </c>
      <c r="Z43" s="126">
        <f>($Y43*E43)+SUM(AN41:AN43)</f>
        <v>640.41999999999996</v>
      </c>
      <c r="AA43" s="126" t="s">
        <v>26</v>
      </c>
      <c r="AB43" s="385" t="s">
        <v>26</v>
      </c>
      <c r="AC43" s="126" t="s">
        <v>26</v>
      </c>
      <c r="AD43" s="126" t="s">
        <v>26</v>
      </c>
      <c r="AE43" s="411">
        <v>0.5</v>
      </c>
      <c r="AF43" s="295" t="s">
        <v>26</v>
      </c>
      <c r="AG43" s="295" t="s">
        <v>26</v>
      </c>
      <c r="AH43" s="386" t="s">
        <v>26</v>
      </c>
      <c r="AI43" s="425" t="s">
        <v>26</v>
      </c>
      <c r="AJ43" s="411" t="s">
        <v>26</v>
      </c>
      <c r="AK43" s="408" t="s">
        <v>26</v>
      </c>
      <c r="AL43" s="295" t="s">
        <v>26</v>
      </c>
      <c r="AM43" s="295" t="s">
        <v>26</v>
      </c>
      <c r="AN43" s="325">
        <f t="shared" si="7"/>
        <v>12.58</v>
      </c>
      <c r="AO43" s="42"/>
      <c r="AP43" s="42"/>
      <c r="AQ43" s="43"/>
      <c r="AR43" s="43"/>
      <c r="AS43" s="35"/>
      <c r="AT43" s="30"/>
      <c r="AU43" s="31"/>
    </row>
    <row r="44" spans="1:47" x14ac:dyDescent="0.3">
      <c r="A44" s="1080"/>
      <c r="B44" s="117">
        <v>92</v>
      </c>
      <c r="C44" s="230">
        <v>7.34</v>
      </c>
      <c r="D44" s="126">
        <v>15.48</v>
      </c>
      <c r="E44" s="127">
        <f>47.2*5</f>
        <v>236</v>
      </c>
      <c r="F44" s="127" t="s">
        <v>26</v>
      </c>
      <c r="G44" s="117">
        <f>212*5</f>
        <v>1060</v>
      </c>
      <c r="H44" s="231" t="s">
        <v>26</v>
      </c>
      <c r="I44" s="127" t="s">
        <v>26</v>
      </c>
      <c r="J44" s="127" t="s">
        <v>26</v>
      </c>
      <c r="K44" s="117" t="s">
        <v>26</v>
      </c>
      <c r="L44" s="128" t="s">
        <v>26</v>
      </c>
      <c r="M44" s="127" t="s">
        <v>26</v>
      </c>
      <c r="N44" s="117" t="s">
        <v>26</v>
      </c>
      <c r="O44" s="128" t="s">
        <v>26</v>
      </c>
      <c r="P44" s="126" t="s">
        <v>26</v>
      </c>
      <c r="Q44" s="117" t="s">
        <v>26</v>
      </c>
      <c r="R44" s="230">
        <v>-0.33710000000000001</v>
      </c>
      <c r="S44" s="127">
        <v>-0.50660000000000005</v>
      </c>
      <c r="T44" s="127" t="s">
        <v>26</v>
      </c>
      <c r="U44" s="117" t="s">
        <v>26</v>
      </c>
      <c r="V44" s="1083"/>
      <c r="W44" s="977" t="s">
        <v>126</v>
      </c>
      <c r="X44" s="553"/>
      <c r="Y44" s="419">
        <f>Y43-0.02</f>
        <v>0.91999999999999993</v>
      </c>
      <c r="Z44" s="126">
        <f>($Y44*E44)+SUM(AN41:AN44)</f>
        <v>271</v>
      </c>
      <c r="AA44" s="126" t="s">
        <v>26</v>
      </c>
      <c r="AB44" s="385" t="s">
        <v>26</v>
      </c>
      <c r="AC44" s="126" t="s">
        <v>26</v>
      </c>
      <c r="AD44" s="126" t="s">
        <v>26</v>
      </c>
      <c r="AE44" s="411">
        <v>0.5</v>
      </c>
      <c r="AF44" s="295" t="s">
        <v>26</v>
      </c>
      <c r="AG44" s="295" t="s">
        <v>26</v>
      </c>
      <c r="AH44" s="386" t="s">
        <v>26</v>
      </c>
      <c r="AI44" s="425" t="s">
        <v>26</v>
      </c>
      <c r="AJ44" s="411" t="s">
        <v>26</v>
      </c>
      <c r="AK44" s="408" t="s">
        <v>26</v>
      </c>
      <c r="AL44" s="295" t="s">
        <v>26</v>
      </c>
      <c r="AM44" s="295" t="s">
        <v>26</v>
      </c>
      <c r="AN44" s="325">
        <f t="shared" si="7"/>
        <v>4.72</v>
      </c>
      <c r="AO44" s="7"/>
      <c r="AP44" s="7"/>
      <c r="AQ44" s="35"/>
      <c r="AR44" s="35"/>
      <c r="AS44" s="35"/>
      <c r="AT44" s="30"/>
      <c r="AU44" s="31"/>
    </row>
    <row r="45" spans="1:47" s="311" customFormat="1" ht="15" thickBot="1" x14ac:dyDescent="0.35">
      <c r="A45" s="1081"/>
      <c r="B45" s="305">
        <v>120</v>
      </c>
      <c r="C45" s="306">
        <v>7.7</v>
      </c>
      <c r="D45" s="307">
        <v>15.21</v>
      </c>
      <c r="E45" s="308">
        <v>175</v>
      </c>
      <c r="F45" s="308">
        <v>208</v>
      </c>
      <c r="G45" s="305">
        <f>66.6*5</f>
        <v>333</v>
      </c>
      <c r="H45" s="306">
        <v>12.07</v>
      </c>
      <c r="I45" s="308">
        <v>31.3</v>
      </c>
      <c r="J45" s="308">
        <v>637</v>
      </c>
      <c r="K45" s="305">
        <v>708</v>
      </c>
      <c r="L45" s="309">
        <v>35.1</v>
      </c>
      <c r="M45" s="308">
        <v>1250</v>
      </c>
      <c r="N45" s="305">
        <v>1388</v>
      </c>
      <c r="O45" s="309">
        <v>57.6</v>
      </c>
      <c r="P45" s="307">
        <v>0.59599999999999997</v>
      </c>
      <c r="Q45" s="305">
        <v>2.1</v>
      </c>
      <c r="R45" s="306">
        <v>-0.1263</v>
      </c>
      <c r="S45" s="308">
        <v>-0.30959999999999999</v>
      </c>
      <c r="T45" s="308">
        <v>0.2</v>
      </c>
      <c r="U45" s="305">
        <v>27.8</v>
      </c>
      <c r="V45" s="1084"/>
      <c r="W45" s="980" t="s">
        <v>190</v>
      </c>
      <c r="X45" s="554"/>
      <c r="Y45" s="417">
        <f>Y44</f>
        <v>0.91999999999999993</v>
      </c>
      <c r="Z45" s="307">
        <f>($Y45*E45)+SUM(AN41:AN44)</f>
        <v>214.88</v>
      </c>
      <c r="AA45" s="307">
        <f>($Y45*F45)+(0.02*F41)</f>
        <v>217.44</v>
      </c>
      <c r="AB45" s="417">
        <v>0.48</v>
      </c>
      <c r="AC45" s="307">
        <f>(AB45*J45)+(0.02*J45)</f>
        <v>318.5</v>
      </c>
      <c r="AD45" s="307">
        <f>(AB45*K45)+(0.02*K41)</f>
        <v>339.84</v>
      </c>
      <c r="AE45" s="510">
        <v>0.5</v>
      </c>
      <c r="AF45" s="483">
        <f>$AE45*M45</f>
        <v>625</v>
      </c>
      <c r="AG45" s="483">
        <f>$AE45*N45</f>
        <v>694</v>
      </c>
      <c r="AH45" s="426">
        <f>$AE45*P45</f>
        <v>0.29799999999999999</v>
      </c>
      <c r="AI45" s="427">
        <f>AE45*Q45</f>
        <v>1.05</v>
      </c>
      <c r="AJ45" s="412">
        <f>Z45+AC45+AF45+AH45</f>
        <v>1158.6780000000001</v>
      </c>
      <c r="AK45" s="313">
        <f>AA45+AD45+AG45+AI45</f>
        <v>1252.33</v>
      </c>
      <c r="AL45" s="388">
        <f>AJ45-AJ41</f>
        <v>18.678000000000111</v>
      </c>
      <c r="AM45" s="388">
        <f>AK45-AK41</f>
        <v>-51.670000000000073</v>
      </c>
      <c r="AN45" s="388" t="s">
        <v>26</v>
      </c>
      <c r="AO45" s="388">
        <f>(AF45+AH45)*10/100/(B45/24)</f>
        <v>12.505959999999998</v>
      </c>
      <c r="AP45" s="389">
        <f>(AF45+AH45)/Z41</f>
        <v>0.54850701754385967</v>
      </c>
      <c r="AQ45" s="432">
        <f>(Z41-Z45)*10/100/(B45/24)</f>
        <v>18.502400000000002</v>
      </c>
      <c r="AR45" s="812">
        <f>(Z41-Z45)/Z41</f>
        <v>0.81150877192982451</v>
      </c>
      <c r="AS45" s="812">
        <f>((AC45+AF45)-AC41)/Z41</f>
        <v>0.82763157894736838</v>
      </c>
      <c r="AT45" s="848">
        <f>AU45/10</f>
        <v>7.4139999999999998E-2</v>
      </c>
      <c r="AU45" s="901">
        <f>((G41+$T$1)-G45)/(1000*(B45/24))</f>
        <v>0.74139999999999995</v>
      </c>
    </row>
    <row r="46" spans="1:47" ht="15" thickTop="1" x14ac:dyDescent="0.3">
      <c r="A46" s="1150">
        <v>11</v>
      </c>
      <c r="B46" s="117">
        <v>0</v>
      </c>
      <c r="C46" s="235">
        <v>7.76</v>
      </c>
      <c r="D46" s="126">
        <v>19.37</v>
      </c>
      <c r="E46" s="126">
        <v>1100</v>
      </c>
      <c r="F46" s="235">
        <f>62.5*20</f>
        <v>1250</v>
      </c>
      <c r="G46" s="235">
        <f>354*5</f>
        <v>1770</v>
      </c>
      <c r="H46" s="211">
        <v>7.33</v>
      </c>
      <c r="I46" s="127">
        <v>19.920000000000002</v>
      </c>
      <c r="J46" s="127">
        <v>0</v>
      </c>
      <c r="K46" s="117">
        <v>0</v>
      </c>
      <c r="L46" s="233" t="s">
        <v>26</v>
      </c>
      <c r="M46" s="138" t="s">
        <v>26</v>
      </c>
      <c r="N46" s="117" t="s">
        <v>26</v>
      </c>
      <c r="O46" s="234" t="s">
        <v>26</v>
      </c>
      <c r="P46" s="235" t="s">
        <v>26</v>
      </c>
      <c r="Q46" s="117" t="s">
        <v>26</v>
      </c>
      <c r="R46" s="234" t="s">
        <v>26</v>
      </c>
      <c r="S46" s="127" t="s">
        <v>26</v>
      </c>
      <c r="T46" s="127" t="s">
        <v>26</v>
      </c>
      <c r="U46" s="117" t="s">
        <v>26</v>
      </c>
      <c r="V46" s="1132">
        <v>150</v>
      </c>
      <c r="W46" s="977" t="s">
        <v>126</v>
      </c>
      <c r="X46" s="553"/>
      <c r="Y46" s="416">
        <v>0.98</v>
      </c>
      <c r="Z46" s="38">
        <f>($Y46*E46)+AN46</f>
        <v>1100</v>
      </c>
      <c r="AA46" s="38">
        <f>($Y46*F46)+(0.02*F46)</f>
        <v>1250</v>
      </c>
      <c r="AB46" s="418">
        <v>0.48</v>
      </c>
      <c r="AC46" s="38">
        <f>AB46*J46+(0.02*J46)</f>
        <v>0</v>
      </c>
      <c r="AD46" s="38">
        <f>AB46*K46+(0.02*K46)</f>
        <v>0</v>
      </c>
      <c r="AE46" s="514">
        <v>0.5</v>
      </c>
      <c r="AF46" s="79">
        <v>0</v>
      </c>
      <c r="AG46" s="79">
        <v>0</v>
      </c>
      <c r="AH46" s="394">
        <v>0</v>
      </c>
      <c r="AI46" s="424">
        <v>0</v>
      </c>
      <c r="AJ46" s="393">
        <f>Z46+AC46+AF46+AH46</f>
        <v>1100</v>
      </c>
      <c r="AK46" s="410">
        <f>AA46+AD46+AG46+AI46</f>
        <v>1250</v>
      </c>
      <c r="AL46" s="394" t="s">
        <v>26</v>
      </c>
      <c r="AM46" s="394" t="s">
        <v>26</v>
      </c>
      <c r="AN46" s="325">
        <f t="shared" si="7"/>
        <v>22</v>
      </c>
      <c r="AO46" s="42"/>
      <c r="AP46" s="42"/>
      <c r="AQ46" s="43"/>
      <c r="AR46" s="43"/>
      <c r="AS46" s="343"/>
      <c r="AT46" s="849"/>
      <c r="AU46" s="899"/>
    </row>
    <row r="47" spans="1:47" ht="28.8" x14ac:dyDescent="0.3">
      <c r="A47" s="1080"/>
      <c r="B47" s="117">
        <v>22</v>
      </c>
      <c r="C47" s="113">
        <v>7.81</v>
      </c>
      <c r="D47" s="138">
        <v>18.38</v>
      </c>
      <c r="E47" s="6">
        <v>754</v>
      </c>
      <c r="F47" s="127" t="s">
        <v>26</v>
      </c>
      <c r="G47" s="117">
        <f>235*5</f>
        <v>1175</v>
      </c>
      <c r="H47" s="113" t="s">
        <v>26</v>
      </c>
      <c r="I47" s="6" t="s">
        <v>26</v>
      </c>
      <c r="J47" s="127" t="s">
        <v>26</v>
      </c>
      <c r="K47" s="117" t="s">
        <v>26</v>
      </c>
      <c r="L47" s="118" t="s">
        <v>26</v>
      </c>
      <c r="M47" s="127" t="s">
        <v>26</v>
      </c>
      <c r="N47" s="117" t="s">
        <v>26</v>
      </c>
      <c r="O47" s="118" t="s">
        <v>26</v>
      </c>
      <c r="P47" s="126" t="s">
        <v>26</v>
      </c>
      <c r="Q47" s="117" t="s">
        <v>26</v>
      </c>
      <c r="R47" s="113" t="s">
        <v>26</v>
      </c>
      <c r="S47" s="6" t="s">
        <v>26</v>
      </c>
      <c r="T47" s="6" t="s">
        <v>26</v>
      </c>
      <c r="U47" s="117" t="s">
        <v>26</v>
      </c>
      <c r="V47" s="1083"/>
      <c r="W47" s="105" t="s">
        <v>191</v>
      </c>
      <c r="X47" s="553"/>
      <c r="Y47" s="419">
        <f>Y46-0.02</f>
        <v>0.96</v>
      </c>
      <c r="Z47" s="138">
        <f>($Y47*E47)+SUM(AN46:AN47)</f>
        <v>760.92</v>
      </c>
      <c r="AA47" s="138" t="s">
        <v>26</v>
      </c>
      <c r="AB47" s="376" t="s">
        <v>26</v>
      </c>
      <c r="AC47" s="138" t="s">
        <v>26</v>
      </c>
      <c r="AD47" s="138" t="s">
        <v>26</v>
      </c>
      <c r="AE47" s="333">
        <v>0.5</v>
      </c>
      <c r="AF47" s="325" t="s">
        <v>26</v>
      </c>
      <c r="AG47" s="325" t="s">
        <v>26</v>
      </c>
      <c r="AH47" s="334" t="s">
        <v>26</v>
      </c>
      <c r="AI47" s="384" t="s">
        <v>26</v>
      </c>
      <c r="AJ47" s="333" t="s">
        <v>26</v>
      </c>
      <c r="AK47" s="21" t="s">
        <v>26</v>
      </c>
      <c r="AL47" s="325" t="s">
        <v>26</v>
      </c>
      <c r="AM47" s="325" t="s">
        <v>26</v>
      </c>
      <c r="AN47" s="325">
        <f t="shared" si="7"/>
        <v>15.08</v>
      </c>
      <c r="AO47" s="7"/>
      <c r="AP47" s="7"/>
      <c r="AQ47" s="35"/>
      <c r="AR47" s="35"/>
      <c r="AS47" s="870"/>
      <c r="AT47" s="30"/>
      <c r="AU47" s="31"/>
    </row>
    <row r="48" spans="1:47" x14ac:dyDescent="0.3">
      <c r="A48" s="1080"/>
      <c r="B48" s="117">
        <v>87.5</v>
      </c>
      <c r="C48" s="235">
        <v>7.69</v>
      </c>
      <c r="D48" s="126">
        <v>16.82</v>
      </c>
      <c r="E48" s="127">
        <v>384</v>
      </c>
      <c r="F48" s="127" t="s">
        <v>26</v>
      </c>
      <c r="G48" s="117">
        <f>209*5</f>
        <v>1045</v>
      </c>
      <c r="H48" s="235" t="s">
        <v>26</v>
      </c>
      <c r="I48" s="127" t="s">
        <v>26</v>
      </c>
      <c r="J48" s="127" t="s">
        <v>26</v>
      </c>
      <c r="K48" s="117" t="s">
        <v>26</v>
      </c>
      <c r="L48" s="128" t="s">
        <v>26</v>
      </c>
      <c r="M48" s="127" t="s">
        <v>26</v>
      </c>
      <c r="N48" s="117" t="s">
        <v>26</v>
      </c>
      <c r="O48" s="128" t="s">
        <v>26</v>
      </c>
      <c r="P48" s="126" t="s">
        <v>26</v>
      </c>
      <c r="Q48" s="117" t="s">
        <v>26</v>
      </c>
      <c r="R48" s="235">
        <v>-0.42980000000000002</v>
      </c>
      <c r="S48" s="127">
        <v>-0.53779999999999994</v>
      </c>
      <c r="T48" s="127" t="s">
        <v>26</v>
      </c>
      <c r="U48" s="117" t="s">
        <v>26</v>
      </c>
      <c r="V48" s="1083"/>
      <c r="W48" s="977" t="s">
        <v>126</v>
      </c>
      <c r="X48" s="553"/>
      <c r="Y48" s="419">
        <f>Y47-0.02</f>
        <v>0.94</v>
      </c>
      <c r="Z48" s="126">
        <f>($Y48*E48)+SUM(AN46:AN48)</f>
        <v>405.71999999999997</v>
      </c>
      <c r="AA48" s="126" t="s">
        <v>26</v>
      </c>
      <c r="AB48" s="385" t="s">
        <v>26</v>
      </c>
      <c r="AC48" s="126" t="s">
        <v>26</v>
      </c>
      <c r="AD48" s="126" t="s">
        <v>26</v>
      </c>
      <c r="AE48" s="411">
        <v>0.5</v>
      </c>
      <c r="AF48" s="295" t="s">
        <v>26</v>
      </c>
      <c r="AG48" s="295" t="s">
        <v>26</v>
      </c>
      <c r="AH48" s="386" t="s">
        <v>26</v>
      </c>
      <c r="AI48" s="425" t="s">
        <v>26</v>
      </c>
      <c r="AJ48" s="411" t="s">
        <v>26</v>
      </c>
      <c r="AK48" s="408" t="s">
        <v>26</v>
      </c>
      <c r="AL48" s="295" t="s">
        <v>26</v>
      </c>
      <c r="AM48" s="295" t="s">
        <v>26</v>
      </c>
      <c r="AN48" s="325">
        <f t="shared" si="7"/>
        <v>7.68</v>
      </c>
      <c r="AO48" s="7"/>
      <c r="AP48" s="7"/>
      <c r="AQ48" s="35"/>
      <c r="AR48" s="35"/>
      <c r="AS48" s="870"/>
      <c r="AT48" s="30"/>
      <c r="AU48" s="31"/>
    </row>
    <row r="49" spans="1:47" s="311" customFormat="1" ht="15" thickBot="1" x14ac:dyDescent="0.35">
      <c r="A49" s="1081"/>
      <c r="B49" s="305">
        <v>114.5</v>
      </c>
      <c r="C49" s="306">
        <v>7.86</v>
      </c>
      <c r="D49" s="307">
        <v>15.78</v>
      </c>
      <c r="E49" s="308">
        <v>318</v>
      </c>
      <c r="F49" s="308">
        <v>402</v>
      </c>
      <c r="G49" s="305">
        <f>64*5</f>
        <v>320</v>
      </c>
      <c r="H49" s="306">
        <v>11.13</v>
      </c>
      <c r="I49" s="308">
        <v>24.5</v>
      </c>
      <c r="J49" s="308">
        <v>604</v>
      </c>
      <c r="K49" s="305">
        <v>783</v>
      </c>
      <c r="L49" s="309">
        <v>44.7</v>
      </c>
      <c r="M49" s="308">
        <v>845</v>
      </c>
      <c r="N49" s="305">
        <f>89.4*10</f>
        <v>894</v>
      </c>
      <c r="O49" s="309">
        <v>62.3</v>
      </c>
      <c r="P49" s="307">
        <v>0.10199999999999999</v>
      </c>
      <c r="Q49" s="305">
        <v>2.91</v>
      </c>
      <c r="R49" s="306" t="s">
        <v>26</v>
      </c>
      <c r="S49" s="308" t="s">
        <v>26</v>
      </c>
      <c r="T49" s="308">
        <v>0.2</v>
      </c>
      <c r="U49" s="305">
        <v>21.1</v>
      </c>
      <c r="V49" s="1084"/>
      <c r="W49" s="980" t="s">
        <v>190</v>
      </c>
      <c r="X49" s="554"/>
      <c r="Y49" s="417">
        <f>Y48</f>
        <v>0.94</v>
      </c>
      <c r="Z49" s="307">
        <f>($Y49*E49)+SUM(AN46:AN48)</f>
        <v>343.67999999999995</v>
      </c>
      <c r="AA49" s="307">
        <f>$Y49*F49+(0.02*F46)</f>
        <v>402.88</v>
      </c>
      <c r="AB49" s="417">
        <v>0.48</v>
      </c>
      <c r="AC49" s="307">
        <f>AB49*J49+(0.02*J46)</f>
        <v>289.92</v>
      </c>
      <c r="AD49" s="307">
        <f>AB49*K49+(0.02*K46)</f>
        <v>375.84</v>
      </c>
      <c r="AE49" s="510">
        <v>0.5</v>
      </c>
      <c r="AF49" s="483">
        <f>$AE49*M49</f>
        <v>422.5</v>
      </c>
      <c r="AG49" s="483">
        <f>$AE49*N49</f>
        <v>447</v>
      </c>
      <c r="AH49" s="426">
        <f>$AE49*P49</f>
        <v>5.0999999999999997E-2</v>
      </c>
      <c r="AI49" s="427">
        <f>AE49*Q49</f>
        <v>1.4550000000000001</v>
      </c>
      <c r="AJ49" s="412">
        <f>Z49+AC49+AF49+AH49</f>
        <v>1056.1509999999998</v>
      </c>
      <c r="AK49" s="313">
        <f>AA49+AD49+AG49+AI49</f>
        <v>1227.175</v>
      </c>
      <c r="AL49" s="388">
        <f>AJ49-AJ46</f>
        <v>-43.84900000000016</v>
      </c>
      <c r="AM49" s="388">
        <f>AK49-AK46</f>
        <v>-22.825000000000045</v>
      </c>
      <c r="AN49" s="388" t="s">
        <v>26</v>
      </c>
      <c r="AO49" s="388">
        <f>(AF49+AH49)*10/100/(B49/24)</f>
        <v>8.8569641921397384</v>
      </c>
      <c r="AP49" s="389">
        <f>(AF49+AH49)/Z46</f>
        <v>0.38413727272727272</v>
      </c>
      <c r="AQ49" s="432">
        <f>(Z46-Z49)*10/100/(B49/24)</f>
        <v>15.852995633187774</v>
      </c>
      <c r="AR49" s="812">
        <f>(Z46-Z49)/Z46</f>
        <v>0.68756363636363638</v>
      </c>
      <c r="AS49" s="812">
        <f>((AC49+AF49)-AC46)/Z46</f>
        <v>0.64765454545454548</v>
      </c>
      <c r="AT49" s="848">
        <f>AU49/10</f>
        <v>8.9082969432314418E-2</v>
      </c>
      <c r="AU49" s="901">
        <f>((G46+$T$2)-G49)/(1000*(B49/24))</f>
        <v>0.89082969432314418</v>
      </c>
    </row>
    <row r="50" spans="1:47" ht="15" thickTop="1" x14ac:dyDescent="0.3">
      <c r="A50" s="1150">
        <v>12</v>
      </c>
      <c r="B50" s="117">
        <v>0</v>
      </c>
      <c r="C50" s="245">
        <v>8.0299999999999994</v>
      </c>
      <c r="D50" s="126">
        <v>21.44</v>
      </c>
      <c r="E50" s="126">
        <v>1012</v>
      </c>
      <c r="F50" s="245">
        <f>56.8*20</f>
        <v>1136</v>
      </c>
      <c r="G50" s="245">
        <f>343*5</f>
        <v>1715</v>
      </c>
      <c r="H50" s="211">
        <v>7.8</v>
      </c>
      <c r="I50" s="127">
        <v>21.45</v>
      </c>
      <c r="J50" s="127">
        <v>20</v>
      </c>
      <c r="K50" s="117">
        <v>17.899999999999999</v>
      </c>
      <c r="L50" s="243" t="s">
        <v>26</v>
      </c>
      <c r="M50" s="138" t="s">
        <v>26</v>
      </c>
      <c r="N50" s="117" t="s">
        <v>26</v>
      </c>
      <c r="O50" s="244" t="s">
        <v>26</v>
      </c>
      <c r="P50" s="245" t="s">
        <v>26</v>
      </c>
      <c r="Q50" s="117" t="s">
        <v>26</v>
      </c>
      <c r="R50" s="244" t="s">
        <v>26</v>
      </c>
      <c r="S50" s="127" t="s">
        <v>26</v>
      </c>
      <c r="T50" s="127" t="s">
        <v>26</v>
      </c>
      <c r="U50" s="117" t="s">
        <v>26</v>
      </c>
      <c r="V50" s="1132">
        <v>150</v>
      </c>
      <c r="W50" s="977" t="s">
        <v>126</v>
      </c>
      <c r="X50" s="553"/>
      <c r="Y50" s="416">
        <v>0.98</v>
      </c>
      <c r="Z50" s="38">
        <f>($Y50*E50)+AN50</f>
        <v>1012</v>
      </c>
      <c r="AA50" s="38">
        <f>($Y50*F50)+(0.02*F50)</f>
        <v>1136</v>
      </c>
      <c r="AB50" s="418">
        <v>0.48</v>
      </c>
      <c r="AC50" s="38">
        <f>(AB50*J50)+(0.02*J50)</f>
        <v>10</v>
      </c>
      <c r="AD50" s="38">
        <f>(AB50*K50)+(0.02*K50)</f>
        <v>8.9499999999999993</v>
      </c>
      <c r="AE50" s="514">
        <v>0.5</v>
      </c>
      <c r="AF50" s="79">
        <v>0</v>
      </c>
      <c r="AG50" s="79">
        <v>0</v>
      </c>
      <c r="AH50" s="394">
        <v>0</v>
      </c>
      <c r="AI50" s="424">
        <v>0</v>
      </c>
      <c r="AJ50" s="393">
        <f>Z50+AC50+AF50+AH50</f>
        <v>1022</v>
      </c>
      <c r="AK50" s="410">
        <f>AA50+AD50+AG50+AI50</f>
        <v>1144.95</v>
      </c>
      <c r="AL50" s="394" t="s">
        <v>26</v>
      </c>
      <c r="AM50" s="394" t="s">
        <v>26</v>
      </c>
      <c r="AN50" s="325">
        <f t="shared" si="7"/>
        <v>20.240000000000002</v>
      </c>
      <c r="AO50" s="42"/>
      <c r="AP50" s="42"/>
      <c r="AQ50" s="43"/>
      <c r="AR50" s="167"/>
      <c r="AS50" s="347"/>
      <c r="AT50" s="849"/>
      <c r="AU50" s="899"/>
    </row>
    <row r="51" spans="1:47" ht="28.8" x14ac:dyDescent="0.3">
      <c r="A51" s="1080"/>
      <c r="B51" s="117">
        <v>21</v>
      </c>
      <c r="C51" s="113">
        <v>7.68</v>
      </c>
      <c r="D51" s="138">
        <v>20.46</v>
      </c>
      <c r="E51" s="6">
        <v>741</v>
      </c>
      <c r="F51" s="127" t="s">
        <v>26</v>
      </c>
      <c r="G51" s="117">
        <f>225*5</f>
        <v>1125</v>
      </c>
      <c r="H51" s="113" t="s">
        <v>26</v>
      </c>
      <c r="I51" s="6" t="s">
        <v>26</v>
      </c>
      <c r="J51" s="127" t="s">
        <v>26</v>
      </c>
      <c r="K51" s="117" t="s">
        <v>26</v>
      </c>
      <c r="L51" s="118" t="s">
        <v>26</v>
      </c>
      <c r="M51" s="127" t="s">
        <v>26</v>
      </c>
      <c r="N51" s="117" t="s">
        <v>26</v>
      </c>
      <c r="O51" s="118" t="s">
        <v>26</v>
      </c>
      <c r="P51" s="126" t="s">
        <v>26</v>
      </c>
      <c r="Q51" s="117" t="s">
        <v>26</v>
      </c>
      <c r="R51" s="113">
        <v>-0.39760000000000001</v>
      </c>
      <c r="S51" s="6">
        <v>-0.47720000000000001</v>
      </c>
      <c r="T51" s="6" t="s">
        <v>26</v>
      </c>
      <c r="U51" s="117" t="s">
        <v>26</v>
      </c>
      <c r="V51" s="1083"/>
      <c r="W51" s="979" t="s">
        <v>189</v>
      </c>
      <c r="X51" s="553"/>
      <c r="Y51" s="419">
        <f>Y50-0.02</f>
        <v>0.96</v>
      </c>
      <c r="Z51" s="138">
        <f>($Y51*E51)+SUM(AN50:AN51)</f>
        <v>746.42000000000007</v>
      </c>
      <c r="AA51" s="138" t="s">
        <v>26</v>
      </c>
      <c r="AB51" s="376" t="s">
        <v>26</v>
      </c>
      <c r="AC51" s="138" t="s">
        <v>26</v>
      </c>
      <c r="AD51" s="138" t="s">
        <v>26</v>
      </c>
      <c r="AE51" s="333">
        <v>0.5</v>
      </c>
      <c r="AF51" s="325" t="s">
        <v>26</v>
      </c>
      <c r="AG51" s="325" t="s">
        <v>26</v>
      </c>
      <c r="AH51" s="334" t="s">
        <v>26</v>
      </c>
      <c r="AI51" s="384" t="s">
        <v>26</v>
      </c>
      <c r="AJ51" s="333" t="s">
        <v>26</v>
      </c>
      <c r="AK51" s="21" t="s">
        <v>26</v>
      </c>
      <c r="AL51" s="325" t="s">
        <v>26</v>
      </c>
      <c r="AM51" s="325" t="s">
        <v>26</v>
      </c>
      <c r="AN51" s="325">
        <f t="shared" si="7"/>
        <v>14.82</v>
      </c>
      <c r="AO51" s="7"/>
      <c r="AP51" s="7"/>
      <c r="AQ51" s="35"/>
      <c r="AR51" s="7"/>
      <c r="AS51" s="873"/>
      <c r="AT51" s="30"/>
      <c r="AU51" s="31"/>
    </row>
    <row r="52" spans="1:47" ht="28.8" x14ac:dyDescent="0.3">
      <c r="A52" s="1080"/>
      <c r="B52" s="117">
        <v>93</v>
      </c>
      <c r="C52" s="245">
        <v>7.58</v>
      </c>
      <c r="D52" s="126">
        <v>17.809999999999999</v>
      </c>
      <c r="E52" s="127">
        <v>387</v>
      </c>
      <c r="F52" s="127" t="s">
        <v>26</v>
      </c>
      <c r="G52" s="117">
        <f>96.1*5</f>
        <v>480.5</v>
      </c>
      <c r="H52" s="245" t="s">
        <v>26</v>
      </c>
      <c r="I52" s="127" t="s">
        <v>26</v>
      </c>
      <c r="J52" s="127" t="s">
        <v>26</v>
      </c>
      <c r="K52" s="117" t="s">
        <v>26</v>
      </c>
      <c r="L52" s="128" t="s">
        <v>26</v>
      </c>
      <c r="M52" s="127" t="s">
        <v>26</v>
      </c>
      <c r="N52" s="117" t="s">
        <v>26</v>
      </c>
      <c r="O52" s="128" t="s">
        <v>26</v>
      </c>
      <c r="P52" s="126" t="s">
        <v>26</v>
      </c>
      <c r="Q52" s="117" t="s">
        <v>26</v>
      </c>
      <c r="R52" s="245">
        <v>-0.1497</v>
      </c>
      <c r="S52" s="127">
        <v>-0.30940000000000001</v>
      </c>
      <c r="T52" s="127" t="s">
        <v>26</v>
      </c>
      <c r="U52" s="117" t="s">
        <v>26</v>
      </c>
      <c r="V52" s="1083"/>
      <c r="W52" s="979" t="s">
        <v>192</v>
      </c>
      <c r="X52" s="553"/>
      <c r="Y52" s="419">
        <f>Y51-0.02</f>
        <v>0.94</v>
      </c>
      <c r="Z52" s="126">
        <f>($Y52*E52)+SUM(AN50:AN52)</f>
        <v>406.58</v>
      </c>
      <c r="AA52" s="126" t="s">
        <v>26</v>
      </c>
      <c r="AB52" s="385" t="s">
        <v>26</v>
      </c>
      <c r="AC52" s="126" t="s">
        <v>26</v>
      </c>
      <c r="AD52" s="126" t="s">
        <v>26</v>
      </c>
      <c r="AE52" s="411">
        <v>0.5</v>
      </c>
      <c r="AF52" s="295" t="s">
        <v>26</v>
      </c>
      <c r="AG52" s="295" t="s">
        <v>26</v>
      </c>
      <c r="AH52" s="386" t="s">
        <v>26</v>
      </c>
      <c r="AI52" s="425" t="s">
        <v>26</v>
      </c>
      <c r="AJ52" s="411" t="s">
        <v>26</v>
      </c>
      <c r="AK52" s="408" t="s">
        <v>26</v>
      </c>
      <c r="AL52" s="295" t="s">
        <v>26</v>
      </c>
      <c r="AM52" s="295" t="s">
        <v>26</v>
      </c>
      <c r="AN52" s="325">
        <f t="shared" si="7"/>
        <v>7.74</v>
      </c>
      <c r="AO52" s="413"/>
      <c r="AP52" s="413"/>
      <c r="AQ52" s="431"/>
      <c r="AR52" s="413"/>
      <c r="AS52" s="874"/>
      <c r="AT52" s="473"/>
      <c r="AU52" s="414"/>
    </row>
    <row r="53" spans="1:47" s="311" customFormat="1" ht="15" thickBot="1" x14ac:dyDescent="0.35">
      <c r="A53" s="1081"/>
      <c r="B53" s="305">
        <v>120</v>
      </c>
      <c r="C53" s="306">
        <v>8.33</v>
      </c>
      <c r="D53" s="307">
        <v>17.25</v>
      </c>
      <c r="E53" s="308">
        <v>218</v>
      </c>
      <c r="F53" s="308">
        <v>307</v>
      </c>
      <c r="G53" s="305">
        <f>158*5</f>
        <v>790</v>
      </c>
      <c r="H53" s="306">
        <v>11.81</v>
      </c>
      <c r="I53" s="308">
        <v>31.1</v>
      </c>
      <c r="J53" s="308">
        <v>712</v>
      </c>
      <c r="K53" s="305">
        <v>698</v>
      </c>
      <c r="L53" s="309">
        <v>37.1</v>
      </c>
      <c r="M53" s="308">
        <v>887</v>
      </c>
      <c r="N53" s="305">
        <f>45.8*20</f>
        <v>916</v>
      </c>
      <c r="O53" s="309">
        <v>59</v>
      </c>
      <c r="P53" s="307">
        <v>0.84699999999999998</v>
      </c>
      <c r="Q53" s="305">
        <v>2.04</v>
      </c>
      <c r="R53" s="306" t="s">
        <v>26</v>
      </c>
      <c r="S53" s="308" t="s">
        <v>26</v>
      </c>
      <c r="T53" s="308">
        <v>0.2</v>
      </c>
      <c r="U53" s="305">
        <v>25.2</v>
      </c>
      <c r="V53" s="1084"/>
      <c r="W53" s="980" t="s">
        <v>190</v>
      </c>
      <c r="X53" s="554"/>
      <c r="Y53" s="387">
        <f>Y52</f>
        <v>0.94</v>
      </c>
      <c r="Z53" s="307">
        <f>($Y53*E53)+SUM(AN50:AN52)</f>
        <v>247.72</v>
      </c>
      <c r="AA53" s="307">
        <f>($Y53*F53)+(0.02*F50)</f>
        <v>311.29999999999995</v>
      </c>
      <c r="AB53" s="417">
        <v>0.48</v>
      </c>
      <c r="AC53" s="307">
        <f>(AB53*J53)+(0.02*J50)</f>
        <v>342.15999999999997</v>
      </c>
      <c r="AD53" s="307">
        <f>(AB53*K53)+(0.02*K50)</f>
        <v>335.39799999999997</v>
      </c>
      <c r="AE53" s="510">
        <v>0.5</v>
      </c>
      <c r="AF53" s="483">
        <f>$AE53*M53</f>
        <v>443.5</v>
      </c>
      <c r="AG53" s="483">
        <f>$AE53*N53</f>
        <v>458</v>
      </c>
      <c r="AH53" s="426">
        <f>$AE53*P53</f>
        <v>0.42349999999999999</v>
      </c>
      <c r="AI53" s="427">
        <f>AE53*Q53</f>
        <v>1.02</v>
      </c>
      <c r="AJ53" s="412">
        <f>Z53+AC53+AF53+AH53</f>
        <v>1033.8035000000002</v>
      </c>
      <c r="AK53" s="313">
        <f>AA53+AD53+AG53+AI53</f>
        <v>1105.7179999999998</v>
      </c>
      <c r="AL53" s="533">
        <f>AJ53-AJ50</f>
        <v>11.803500000000213</v>
      </c>
      <c r="AM53" s="872">
        <f>AK53-AK50</f>
        <v>-39.232000000000198</v>
      </c>
      <c r="AN53" s="388" t="s">
        <v>26</v>
      </c>
      <c r="AO53" s="388">
        <f>(AF53+AH53)*10/100/(B53/24)</f>
        <v>8.8784699999999983</v>
      </c>
      <c r="AP53" s="389">
        <f>(AF53+AH53)/Z50</f>
        <v>0.43865958498023716</v>
      </c>
      <c r="AQ53" s="432">
        <f>(Z50-Z53)*10/100/(B53/24)</f>
        <v>15.285599999999999</v>
      </c>
      <c r="AR53" s="389">
        <f>(Z50-Z53)/Z50</f>
        <v>0.75521739130434784</v>
      </c>
      <c r="AS53" s="861">
        <f>((AC53+AF53)-AC50)/Z50</f>
        <v>0.76646245059288531</v>
      </c>
      <c r="AT53" s="472">
        <f>AU53/10</f>
        <v>7.4499999999999997E-2</v>
      </c>
      <c r="AU53" s="900">
        <f>((G50+$T$2)-G53)/(1000*(B53/24))</f>
        <v>0.745</v>
      </c>
    </row>
    <row r="54" spans="1:47" ht="15" thickTop="1" x14ac:dyDescent="0.3">
      <c r="A54" s="1150">
        <v>13</v>
      </c>
      <c r="B54" s="117">
        <v>0</v>
      </c>
      <c r="C54" s="258">
        <v>7.79</v>
      </c>
      <c r="D54" s="126">
        <v>19.21</v>
      </c>
      <c r="E54" s="126">
        <v>1090</v>
      </c>
      <c r="F54" s="258">
        <f>72.7*20</f>
        <v>1454</v>
      </c>
      <c r="G54" s="258">
        <f>334*5</f>
        <v>1670</v>
      </c>
      <c r="H54" s="211">
        <v>7.79</v>
      </c>
      <c r="I54" s="127">
        <v>20.3</v>
      </c>
      <c r="J54" s="127">
        <v>56.9</v>
      </c>
      <c r="K54" s="117">
        <v>72.7</v>
      </c>
      <c r="L54" s="257" t="s">
        <v>26</v>
      </c>
      <c r="M54" s="138" t="s">
        <v>26</v>
      </c>
      <c r="N54" s="117" t="s">
        <v>26</v>
      </c>
      <c r="O54" s="256" t="s">
        <v>26</v>
      </c>
      <c r="P54" s="258" t="s">
        <v>26</v>
      </c>
      <c r="Q54" s="117" t="s">
        <v>26</v>
      </c>
      <c r="R54" s="256" t="s">
        <v>26</v>
      </c>
      <c r="S54" s="127" t="s">
        <v>26</v>
      </c>
      <c r="T54" s="127" t="s">
        <v>26</v>
      </c>
      <c r="U54" s="117" t="s">
        <v>26</v>
      </c>
      <c r="V54" s="1132">
        <v>150</v>
      </c>
      <c r="W54" s="977" t="s">
        <v>190</v>
      </c>
      <c r="X54" s="553"/>
      <c r="Y54" s="416">
        <v>0.98</v>
      </c>
      <c r="Z54" s="38">
        <f>($Y54*E54)+AN54</f>
        <v>1090</v>
      </c>
      <c r="AA54" s="38">
        <f>($Y54*F54)+(0.02*F54)</f>
        <v>1454</v>
      </c>
      <c r="AB54" s="418">
        <v>0.48</v>
      </c>
      <c r="AC54" s="38">
        <f>($AB54*J54)+(0.02*J54)</f>
        <v>28.449999999999996</v>
      </c>
      <c r="AD54" s="38">
        <f>($AB54*K54)+(0.02*K54)</f>
        <v>36.35</v>
      </c>
      <c r="AE54" s="514">
        <v>0.5</v>
      </c>
      <c r="AF54" s="79">
        <v>0</v>
      </c>
      <c r="AG54" s="79">
        <v>0</v>
      </c>
      <c r="AH54" s="394">
        <v>0</v>
      </c>
      <c r="AI54" s="424">
        <v>0</v>
      </c>
      <c r="AJ54" s="393">
        <f>Z54+AC54+AF54+AH54</f>
        <v>1118.45</v>
      </c>
      <c r="AK54" s="410">
        <f>AA54+AD54+AG54+AI54</f>
        <v>1490.35</v>
      </c>
      <c r="AL54" s="394" t="s">
        <v>26</v>
      </c>
      <c r="AM54" s="394" t="s">
        <v>26</v>
      </c>
      <c r="AN54" s="325">
        <f t="shared" si="7"/>
        <v>21.8</v>
      </c>
      <c r="AO54" s="42"/>
      <c r="AP54" s="42"/>
      <c r="AQ54" s="43"/>
      <c r="AR54" s="167"/>
      <c r="AS54" s="347"/>
      <c r="AT54" s="41"/>
      <c r="AU54" s="44"/>
    </row>
    <row r="55" spans="1:47" ht="28.8" x14ac:dyDescent="0.3">
      <c r="A55" s="1080"/>
      <c r="B55" s="117">
        <v>64</v>
      </c>
      <c r="C55" s="113">
        <v>8.16</v>
      </c>
      <c r="D55" s="138">
        <v>17.670000000000002</v>
      </c>
      <c r="E55" s="6">
        <v>572</v>
      </c>
      <c r="F55" s="127" t="s">
        <v>26</v>
      </c>
      <c r="G55" s="117">
        <f>129*5</f>
        <v>645</v>
      </c>
      <c r="H55" s="113" t="s">
        <v>26</v>
      </c>
      <c r="I55" s="6" t="s">
        <v>26</v>
      </c>
      <c r="J55" s="127" t="s">
        <v>26</v>
      </c>
      <c r="K55" s="117" t="s">
        <v>26</v>
      </c>
      <c r="L55" s="118" t="s">
        <v>26</v>
      </c>
      <c r="M55" s="127" t="s">
        <v>26</v>
      </c>
      <c r="N55" s="117" t="s">
        <v>26</v>
      </c>
      <c r="O55" s="118" t="s">
        <v>26</v>
      </c>
      <c r="P55" s="126" t="s">
        <v>26</v>
      </c>
      <c r="Q55" s="117" t="s">
        <v>26</v>
      </c>
      <c r="R55" s="113">
        <v>-0.20499999999999999</v>
      </c>
      <c r="S55" s="6">
        <v>-9.5000000000000001E-2</v>
      </c>
      <c r="T55" s="6" t="s">
        <v>26</v>
      </c>
      <c r="U55" s="117" t="s">
        <v>26</v>
      </c>
      <c r="V55" s="1083"/>
      <c r="W55" s="979" t="s">
        <v>189</v>
      </c>
      <c r="X55" s="553"/>
      <c r="Y55" s="419">
        <f>Y54-0.02</f>
        <v>0.96</v>
      </c>
      <c r="Z55" s="138">
        <f>($Y55*E55)+SUM(AN54:AN55)</f>
        <v>582.36</v>
      </c>
      <c r="AA55" s="38" t="s">
        <v>26</v>
      </c>
      <c r="AB55" s="376" t="s">
        <v>26</v>
      </c>
      <c r="AC55" s="138" t="s">
        <v>26</v>
      </c>
      <c r="AD55" s="138" t="s">
        <v>26</v>
      </c>
      <c r="AE55" s="333">
        <v>0.5</v>
      </c>
      <c r="AF55" s="325" t="s">
        <v>26</v>
      </c>
      <c r="AG55" s="325" t="s">
        <v>26</v>
      </c>
      <c r="AH55" s="334" t="s">
        <v>26</v>
      </c>
      <c r="AI55" s="384" t="s">
        <v>26</v>
      </c>
      <c r="AJ55" s="333" t="s">
        <v>26</v>
      </c>
      <c r="AK55" s="21" t="s">
        <v>26</v>
      </c>
      <c r="AL55" s="325" t="s">
        <v>26</v>
      </c>
      <c r="AM55" s="325" t="s">
        <v>26</v>
      </c>
      <c r="AN55" s="325">
        <f t="shared" si="7"/>
        <v>11.44</v>
      </c>
      <c r="AO55" s="7"/>
      <c r="AP55" s="7"/>
      <c r="AQ55" s="35"/>
      <c r="AR55" s="7"/>
      <c r="AS55" s="873"/>
      <c r="AT55" s="30"/>
      <c r="AU55" s="31"/>
    </row>
    <row r="56" spans="1:47" x14ac:dyDescent="0.3">
      <c r="A56" s="1080"/>
      <c r="B56" s="117">
        <v>88.5</v>
      </c>
      <c r="C56" s="258">
        <v>8.1199999999999992</v>
      </c>
      <c r="D56" s="259">
        <v>19.420000000000002</v>
      </c>
      <c r="E56" s="127">
        <v>450</v>
      </c>
      <c r="F56" s="127" t="s">
        <v>26</v>
      </c>
      <c r="G56" s="117">
        <f>519*5</f>
        <v>2595</v>
      </c>
      <c r="H56" s="258" t="s">
        <v>26</v>
      </c>
      <c r="I56" s="127" t="s">
        <v>26</v>
      </c>
      <c r="J56" s="127" t="s">
        <v>26</v>
      </c>
      <c r="K56" s="117" t="s">
        <v>26</v>
      </c>
      <c r="L56" s="128" t="s">
        <v>26</v>
      </c>
      <c r="M56" s="127" t="s">
        <v>26</v>
      </c>
      <c r="N56" s="117" t="s">
        <v>26</v>
      </c>
      <c r="O56" s="128" t="s">
        <v>26</v>
      </c>
      <c r="P56" s="126" t="s">
        <v>26</v>
      </c>
      <c r="Q56" s="117" t="s">
        <v>26</v>
      </c>
      <c r="R56" s="258">
        <v>-0.48220000000000002</v>
      </c>
      <c r="S56" s="127">
        <v>-0.30740000000000001</v>
      </c>
      <c r="T56" s="127" t="s">
        <v>26</v>
      </c>
      <c r="U56" s="117" t="s">
        <v>26</v>
      </c>
      <c r="V56" s="1083"/>
      <c r="W56" s="977" t="s">
        <v>190</v>
      </c>
      <c r="X56" s="553"/>
      <c r="Y56" s="420">
        <f>Y55-0.02</f>
        <v>0.94</v>
      </c>
      <c r="Z56" s="126">
        <f>($Y56*E56)+SUM(AN54:AN56)</f>
        <v>465.24</v>
      </c>
      <c r="AA56" s="126" t="s">
        <v>26</v>
      </c>
      <c r="AB56" s="385" t="s">
        <v>26</v>
      </c>
      <c r="AC56" s="126" t="s">
        <v>26</v>
      </c>
      <c r="AD56" s="126" t="s">
        <v>26</v>
      </c>
      <c r="AE56" s="411">
        <v>0.5</v>
      </c>
      <c r="AF56" s="295" t="s">
        <v>26</v>
      </c>
      <c r="AG56" s="295" t="s">
        <v>26</v>
      </c>
      <c r="AH56" s="386" t="s">
        <v>26</v>
      </c>
      <c r="AI56" s="425" t="s">
        <v>26</v>
      </c>
      <c r="AJ56" s="411" t="s">
        <v>26</v>
      </c>
      <c r="AK56" s="408" t="s">
        <v>26</v>
      </c>
      <c r="AL56" s="295" t="s">
        <v>26</v>
      </c>
      <c r="AM56" s="295" t="s">
        <v>26</v>
      </c>
      <c r="AN56" s="325">
        <f t="shared" si="7"/>
        <v>9</v>
      </c>
      <c r="AO56" s="413"/>
      <c r="AP56" s="413"/>
      <c r="AQ56" s="431"/>
      <c r="AR56" s="413"/>
      <c r="AS56" s="874"/>
      <c r="AT56" s="473"/>
      <c r="AU56" s="414"/>
    </row>
    <row r="57" spans="1:47" s="288" customFormat="1" ht="15" thickBot="1" x14ac:dyDescent="0.35">
      <c r="A57" s="1081"/>
      <c r="B57" s="282">
        <v>118.5</v>
      </c>
      <c r="C57" s="283">
        <v>8.02</v>
      </c>
      <c r="D57" s="284">
        <v>18.8</v>
      </c>
      <c r="E57" s="285">
        <v>415</v>
      </c>
      <c r="F57" s="285">
        <v>686</v>
      </c>
      <c r="G57" s="282">
        <f>112*5</f>
        <v>560</v>
      </c>
      <c r="H57" s="283">
        <v>9.9600000000000009</v>
      </c>
      <c r="I57" s="285">
        <v>23.4</v>
      </c>
      <c r="J57" s="285">
        <v>643</v>
      </c>
      <c r="K57" s="282">
        <v>864</v>
      </c>
      <c r="L57" s="286">
        <v>44.1</v>
      </c>
      <c r="M57" s="285">
        <v>640</v>
      </c>
      <c r="N57" s="282">
        <f>30.4*20</f>
        <v>608</v>
      </c>
      <c r="O57" s="286">
        <v>57</v>
      </c>
      <c r="P57" s="287">
        <v>0.21199999999999999</v>
      </c>
      <c r="Q57" s="282">
        <v>0.89500000000000002</v>
      </c>
      <c r="R57" s="283" t="s">
        <v>26</v>
      </c>
      <c r="S57" s="285" t="s">
        <v>26</v>
      </c>
      <c r="T57" s="285">
        <v>-0.1</v>
      </c>
      <c r="U57" s="282">
        <v>12.2</v>
      </c>
      <c r="V57" s="1084"/>
      <c r="W57" s="877" t="s">
        <v>86</v>
      </c>
      <c r="X57" s="554"/>
      <c r="Y57" s="421">
        <f>Y56</f>
        <v>0.94</v>
      </c>
      <c r="Z57" s="287">
        <f>($Y57*E57)+SUM(AN54:AN56)</f>
        <v>432.34</v>
      </c>
      <c r="AA57" s="287">
        <f>($Y57*F57)+(0.02*F54)</f>
        <v>673.92</v>
      </c>
      <c r="AB57" s="421">
        <f>AB54</f>
        <v>0.48</v>
      </c>
      <c r="AC57" s="287">
        <f>(AB57*J57)+(0.02*J54)</f>
        <v>309.77799999999996</v>
      </c>
      <c r="AD57" s="287">
        <f>($AB57*K57)+(0.02*K54)</f>
        <v>416.17399999999998</v>
      </c>
      <c r="AE57" s="512">
        <v>0.5</v>
      </c>
      <c r="AF57" s="296">
        <f>$AE57*M57</f>
        <v>320</v>
      </c>
      <c r="AG57" s="296">
        <f>$AE57*N57</f>
        <v>304</v>
      </c>
      <c r="AH57" s="422">
        <f>$AE57*P57</f>
        <v>0.106</v>
      </c>
      <c r="AI57" s="423">
        <f>AE57*Q57</f>
        <v>0.44750000000000001</v>
      </c>
      <c r="AJ57" s="415">
        <f>Z57+AC57+AF57+AH57</f>
        <v>1062.2239999999999</v>
      </c>
      <c r="AK57" s="304">
        <f>AA57+AD57+AG57+AI57</f>
        <v>1394.5415</v>
      </c>
      <c r="AL57" s="391">
        <f>AJ57-AJ54</f>
        <v>-56.226000000000113</v>
      </c>
      <c r="AM57" s="391">
        <f>AK57-AK54</f>
        <v>-95.808499999999867</v>
      </c>
      <c r="AN57" s="391" t="s">
        <v>26</v>
      </c>
      <c r="AO57" s="391">
        <f>(AF57+AH57)*10/100/(B57/24)</f>
        <v>6.4831594936708852</v>
      </c>
      <c r="AP57" s="392">
        <f>(AF57+AH57)/Z54</f>
        <v>0.29367522935779816</v>
      </c>
      <c r="AQ57" s="433">
        <f>(Z54-Z57)*10/100/(B57/24)</f>
        <v>13.319696202531647</v>
      </c>
      <c r="AR57" s="392">
        <f>(Z54-Z57)/Z54</f>
        <v>0.60335779816513768</v>
      </c>
      <c r="AS57" s="879">
        <f>((AC57+AF57)-AC54)/Z54</f>
        <v>0.55167706422018348</v>
      </c>
      <c r="AT57" s="474">
        <f>AU57/10</f>
        <v>6.5012658227848102E-2</v>
      </c>
      <c r="AU57" s="902">
        <f>((G54+$T$1)-G57)/(1000*(B57/24))</f>
        <v>0.65012658227848097</v>
      </c>
    </row>
    <row r="58" spans="1:47" ht="15" thickTop="1" x14ac:dyDescent="0.3">
      <c r="A58" s="1150">
        <v>14</v>
      </c>
      <c r="B58" s="117">
        <v>0</v>
      </c>
      <c r="C58" s="264">
        <v>7.61</v>
      </c>
      <c r="D58" s="126">
        <v>20.420000000000002</v>
      </c>
      <c r="E58" s="126">
        <v>1150</v>
      </c>
      <c r="F58" s="264">
        <f>66.1*20</f>
        <v>1322</v>
      </c>
      <c r="G58" s="264">
        <f>417*5</f>
        <v>2085</v>
      </c>
      <c r="H58" s="211">
        <v>7.33</v>
      </c>
      <c r="I58" s="127">
        <v>19.739999999999998</v>
      </c>
      <c r="J58" s="127">
        <v>40.9</v>
      </c>
      <c r="K58" s="117">
        <v>39.6</v>
      </c>
      <c r="L58" s="262" t="s">
        <v>26</v>
      </c>
      <c r="M58" s="138" t="s">
        <v>26</v>
      </c>
      <c r="N58" s="117" t="s">
        <v>26</v>
      </c>
      <c r="O58" s="263" t="s">
        <v>26</v>
      </c>
      <c r="P58" s="264" t="s">
        <v>26</v>
      </c>
      <c r="Q58" s="117" t="s">
        <v>26</v>
      </c>
      <c r="R58" s="263"/>
      <c r="S58" s="127"/>
      <c r="T58" s="127"/>
      <c r="U58" s="117"/>
      <c r="V58" s="1132">
        <v>150</v>
      </c>
      <c r="W58" s="978" t="s">
        <v>190</v>
      </c>
      <c r="X58" s="553"/>
      <c r="Y58" s="416">
        <v>0.98</v>
      </c>
      <c r="Z58" s="38">
        <f>($Y58*E58)+AN58</f>
        <v>1150</v>
      </c>
      <c r="AA58" s="38">
        <f>($Y58*F58)+(0.02*F58)</f>
        <v>1322</v>
      </c>
      <c r="AB58" s="418">
        <v>0.48</v>
      </c>
      <c r="AC58" s="38">
        <f>($AB58*J58)+(0.02*J58)</f>
        <v>20.45</v>
      </c>
      <c r="AD58" s="38">
        <f>($AB58*K58)+(0.02*K58)</f>
        <v>19.8</v>
      </c>
      <c r="AE58" s="514">
        <v>0.5</v>
      </c>
      <c r="AF58" s="79">
        <v>0</v>
      </c>
      <c r="AG58" s="79">
        <v>0</v>
      </c>
      <c r="AH58" s="394">
        <v>0</v>
      </c>
      <c r="AI58" s="424">
        <v>0</v>
      </c>
      <c r="AJ58" s="393">
        <f>Z58+AC58+AF58+AH58</f>
        <v>1170.45</v>
      </c>
      <c r="AK58" s="410">
        <f>AA58+AD58+AG58+AI58</f>
        <v>1341.8</v>
      </c>
      <c r="AL58" s="394" t="s">
        <v>26</v>
      </c>
      <c r="AM58" s="394" t="s">
        <v>26</v>
      </c>
      <c r="AN58" s="325">
        <f t="shared" si="7"/>
        <v>23</v>
      </c>
      <c r="AO58" s="42"/>
      <c r="AP58" s="42"/>
      <c r="AQ58" s="43"/>
      <c r="AR58" s="167"/>
      <c r="AS58" s="347"/>
      <c r="AT58" s="41"/>
      <c r="AU58" s="44"/>
    </row>
    <row r="59" spans="1:47" ht="28.8" x14ac:dyDescent="0.3">
      <c r="A59" s="1080"/>
      <c r="B59" s="117">
        <v>64.5</v>
      </c>
      <c r="C59" s="113">
        <v>8.0299999999999994</v>
      </c>
      <c r="D59" s="138">
        <v>18.12</v>
      </c>
      <c r="E59" s="6">
        <v>522</v>
      </c>
      <c r="F59" s="127" t="s">
        <v>26</v>
      </c>
      <c r="G59" s="117">
        <f>63.8*5</f>
        <v>319</v>
      </c>
      <c r="H59" s="113" t="s">
        <v>26</v>
      </c>
      <c r="I59" s="6" t="s">
        <v>26</v>
      </c>
      <c r="J59" s="127" t="s">
        <v>26</v>
      </c>
      <c r="K59" s="117" t="s">
        <v>26</v>
      </c>
      <c r="L59" s="118" t="s">
        <v>26</v>
      </c>
      <c r="M59" s="127" t="s">
        <v>26</v>
      </c>
      <c r="N59" s="117" t="s">
        <v>26</v>
      </c>
      <c r="O59" s="118" t="s">
        <v>26</v>
      </c>
      <c r="P59" s="126" t="s">
        <v>26</v>
      </c>
      <c r="Q59" s="117" t="s">
        <v>26</v>
      </c>
      <c r="R59" s="113">
        <v>-0.19969999999999999</v>
      </c>
      <c r="S59" s="6">
        <v>-9.3899999999999997E-2</v>
      </c>
      <c r="T59" s="6"/>
      <c r="U59" s="117"/>
      <c r="V59" s="1083"/>
      <c r="W59" s="979" t="s">
        <v>189</v>
      </c>
      <c r="X59" s="553"/>
      <c r="Y59" s="419">
        <f>Y58-0.02</f>
        <v>0.96</v>
      </c>
      <c r="Z59" s="138">
        <f>($Y59*E59)+SUM(AN58:AN59)</f>
        <v>534.55999999999995</v>
      </c>
      <c r="AA59" s="38" t="s">
        <v>26</v>
      </c>
      <c r="AB59" s="376" t="s">
        <v>26</v>
      </c>
      <c r="AC59" s="138" t="s">
        <v>26</v>
      </c>
      <c r="AD59" s="138" t="s">
        <v>26</v>
      </c>
      <c r="AE59" s="333">
        <v>0.5</v>
      </c>
      <c r="AF59" s="325" t="s">
        <v>26</v>
      </c>
      <c r="AG59" s="325" t="s">
        <v>26</v>
      </c>
      <c r="AH59" s="334" t="s">
        <v>26</v>
      </c>
      <c r="AI59" s="384" t="s">
        <v>26</v>
      </c>
      <c r="AJ59" s="333" t="s">
        <v>26</v>
      </c>
      <c r="AK59" s="21" t="s">
        <v>26</v>
      </c>
      <c r="AL59" s="325" t="s">
        <v>26</v>
      </c>
      <c r="AM59" s="325" t="s">
        <v>26</v>
      </c>
      <c r="AN59" s="325">
        <f t="shared" si="7"/>
        <v>10.44</v>
      </c>
      <c r="AO59" s="7"/>
      <c r="AP59" s="7"/>
      <c r="AQ59" s="35"/>
      <c r="AR59" s="7"/>
      <c r="AS59" s="873"/>
      <c r="AT59" s="30"/>
      <c r="AU59" s="31"/>
    </row>
    <row r="60" spans="1:47" x14ac:dyDescent="0.3">
      <c r="A60" s="1080"/>
      <c r="B60" s="117">
        <f>4*24</f>
        <v>96</v>
      </c>
      <c r="C60" s="264">
        <v>8.3800000000000008</v>
      </c>
      <c r="D60" s="259">
        <v>19.100000000000001</v>
      </c>
      <c r="E60" s="127">
        <v>434</v>
      </c>
      <c r="F60" s="127" t="s">
        <v>26</v>
      </c>
      <c r="G60" s="117">
        <f>144*5</f>
        <v>720</v>
      </c>
      <c r="H60" s="264" t="s">
        <v>26</v>
      </c>
      <c r="I60" s="127" t="s">
        <v>26</v>
      </c>
      <c r="J60" s="127" t="s">
        <v>26</v>
      </c>
      <c r="K60" s="117" t="s">
        <v>26</v>
      </c>
      <c r="L60" s="128" t="s">
        <v>26</v>
      </c>
      <c r="M60" s="127" t="s">
        <v>26</v>
      </c>
      <c r="N60" s="117" t="s">
        <v>26</v>
      </c>
      <c r="O60" s="128" t="s">
        <v>26</v>
      </c>
      <c r="P60" s="126" t="s">
        <v>26</v>
      </c>
      <c r="Q60" s="117" t="s">
        <v>26</v>
      </c>
      <c r="R60" s="264" t="s">
        <v>26</v>
      </c>
      <c r="S60" s="127" t="s">
        <v>26</v>
      </c>
      <c r="T60" s="127"/>
      <c r="U60" s="117"/>
      <c r="V60" s="1083"/>
      <c r="W60" s="979" t="s">
        <v>126</v>
      </c>
      <c r="X60" s="553"/>
      <c r="Y60" s="420">
        <f>Y59-0.02</f>
        <v>0.94</v>
      </c>
      <c r="Z60" s="126">
        <f>($Y60*E60)+SUM(AN58:AN60)</f>
        <v>450.08</v>
      </c>
      <c r="AA60" s="126" t="s">
        <v>26</v>
      </c>
      <c r="AB60" s="385" t="s">
        <v>26</v>
      </c>
      <c r="AC60" s="126" t="s">
        <v>26</v>
      </c>
      <c r="AD60" s="126" t="s">
        <v>26</v>
      </c>
      <c r="AE60" s="411">
        <v>0.5</v>
      </c>
      <c r="AF60" s="295" t="s">
        <v>26</v>
      </c>
      <c r="AG60" s="295" t="s">
        <v>26</v>
      </c>
      <c r="AH60" s="386" t="s">
        <v>26</v>
      </c>
      <c r="AI60" s="425" t="s">
        <v>26</v>
      </c>
      <c r="AJ60" s="411" t="s">
        <v>26</v>
      </c>
      <c r="AK60" s="408" t="s">
        <v>26</v>
      </c>
      <c r="AL60" s="295" t="s">
        <v>26</v>
      </c>
      <c r="AM60" s="295" t="s">
        <v>26</v>
      </c>
      <c r="AN60" s="325">
        <f t="shared" si="7"/>
        <v>8.68</v>
      </c>
      <c r="AO60" s="413"/>
      <c r="AP60" s="413"/>
      <c r="AQ60" s="431"/>
      <c r="AR60" s="413"/>
      <c r="AS60" s="874"/>
      <c r="AT60" s="473"/>
      <c r="AU60" s="414"/>
    </row>
    <row r="61" spans="1:47" s="288" customFormat="1" ht="15" thickBot="1" x14ac:dyDescent="0.35">
      <c r="A61" s="1081"/>
      <c r="B61" s="282">
        <v>120</v>
      </c>
      <c r="C61" s="283">
        <v>8.02</v>
      </c>
      <c r="D61" s="284">
        <v>18.8</v>
      </c>
      <c r="E61" s="285">
        <v>344</v>
      </c>
      <c r="F61" s="285">
        <v>462</v>
      </c>
      <c r="G61" s="282">
        <f>47.6*5</f>
        <v>238</v>
      </c>
      <c r="H61" s="283">
        <v>9.98</v>
      </c>
      <c r="I61" s="285">
        <v>25.4</v>
      </c>
      <c r="J61" s="285">
        <f>33*20</f>
        <v>660</v>
      </c>
      <c r="K61" s="282">
        <v>769</v>
      </c>
      <c r="L61" s="286">
        <v>47.5</v>
      </c>
      <c r="M61" s="285">
        <f>32.8*20</f>
        <v>656</v>
      </c>
      <c r="N61" s="282">
        <f>48.5*20</f>
        <v>970</v>
      </c>
      <c r="O61" s="286">
        <v>62.9</v>
      </c>
      <c r="P61" s="287">
        <v>1E-3</v>
      </c>
      <c r="Q61" s="282">
        <v>0.71499999999999997</v>
      </c>
      <c r="R61" s="283" t="s">
        <v>26</v>
      </c>
      <c r="S61" s="285" t="s">
        <v>26</v>
      </c>
      <c r="T61" s="285">
        <v>-0.1</v>
      </c>
      <c r="U61" s="282">
        <v>14.7</v>
      </c>
      <c r="V61" s="1084"/>
      <c r="W61" s="877" t="s">
        <v>164</v>
      </c>
      <c r="X61" s="554"/>
      <c r="Y61" s="421">
        <f>Y60</f>
        <v>0.94</v>
      </c>
      <c r="Z61" s="287">
        <f>($Y61*E61)+SUM(AN58:AN60)</f>
        <v>365.47999999999996</v>
      </c>
      <c r="AA61" s="287">
        <f>($Y61*F61)+(0.02*F58)</f>
        <v>460.71999999999997</v>
      </c>
      <c r="AB61" s="421">
        <f>AB58</f>
        <v>0.48</v>
      </c>
      <c r="AC61" s="287">
        <f>(AB61*J61)+(0.02*J58)</f>
        <v>317.61799999999999</v>
      </c>
      <c r="AD61" s="287">
        <f>($AB61*K61)+(0.02*K58)</f>
        <v>369.91199999999998</v>
      </c>
      <c r="AE61" s="512">
        <v>0.5</v>
      </c>
      <c r="AF61" s="296">
        <f>$AE61*M61</f>
        <v>328</v>
      </c>
      <c r="AG61" s="296">
        <f>$AE61*N61</f>
        <v>485</v>
      </c>
      <c r="AH61" s="422">
        <f>$AE61*P61</f>
        <v>5.0000000000000001E-4</v>
      </c>
      <c r="AI61" s="423">
        <f>AE61*Q61</f>
        <v>0.35749999999999998</v>
      </c>
      <c r="AJ61" s="415">
        <f>Z61+AC61+AF61+AH61</f>
        <v>1011.0984999999999</v>
      </c>
      <c r="AK61" s="304">
        <f>AA61+AD61+AG61+AI61</f>
        <v>1315.9895000000001</v>
      </c>
      <c r="AL61" s="391">
        <f>AJ61-AJ58</f>
        <v>-159.3515000000001</v>
      </c>
      <c r="AM61" s="391">
        <f>AK61-AK58</f>
        <v>-25.81049999999982</v>
      </c>
      <c r="AN61" s="391" t="s">
        <v>26</v>
      </c>
      <c r="AO61" s="391">
        <f>(AF61+AH61)*10/100/(B61/24)</f>
        <v>6.5600100000000001</v>
      </c>
      <c r="AP61" s="392">
        <f>(AF61+AH61)/Z58</f>
        <v>0.28521782608695651</v>
      </c>
      <c r="AQ61" s="433">
        <f>(Z58-Z61)*10/100/(B61/24)</f>
        <v>15.6904</v>
      </c>
      <c r="AR61" s="392">
        <f>(Z58-Z61)/Z58</f>
        <v>0.68219130434782604</v>
      </c>
      <c r="AS61" s="879">
        <f>((AC61+AF61)-AC58)/Z58</f>
        <v>0.54362434782608682</v>
      </c>
      <c r="AT61" s="474">
        <f>AU61/10</f>
        <v>7.8939999999999996E-2</v>
      </c>
      <c r="AU61" s="902">
        <f>((G58+$T$1)-G61)/(1000*(B61/24))</f>
        <v>0.78939999999999999</v>
      </c>
    </row>
    <row r="62" spans="1:47" ht="15" thickTop="1" x14ac:dyDescent="0.3">
      <c r="A62" s="1150">
        <v>15</v>
      </c>
      <c r="B62" s="114">
        <v>0</v>
      </c>
      <c r="C62" s="269">
        <v>7.92</v>
      </c>
      <c r="D62" s="126">
        <v>20.8</v>
      </c>
      <c r="E62" s="126">
        <f>55.4*20</f>
        <v>1108</v>
      </c>
      <c r="F62" s="269">
        <f>46.9*20</f>
        <v>938</v>
      </c>
      <c r="G62" s="269">
        <f>347*5</f>
        <v>1735</v>
      </c>
      <c r="H62" s="211">
        <v>7.88</v>
      </c>
      <c r="I62" s="127">
        <v>19.7</v>
      </c>
      <c r="J62" s="127">
        <v>37.4</v>
      </c>
      <c r="K62" s="117">
        <v>34.799999999999997</v>
      </c>
      <c r="L62" s="267" t="s">
        <v>26</v>
      </c>
      <c r="M62" s="138" t="s">
        <v>26</v>
      </c>
      <c r="N62" s="117" t="s">
        <v>26</v>
      </c>
      <c r="O62" s="268" t="s">
        <v>26</v>
      </c>
      <c r="P62" s="269" t="s">
        <v>26</v>
      </c>
      <c r="Q62" s="117" t="s">
        <v>26</v>
      </c>
      <c r="R62" s="268" t="s">
        <v>26</v>
      </c>
      <c r="S62" s="127" t="s">
        <v>26</v>
      </c>
      <c r="T62" s="127" t="s">
        <v>26</v>
      </c>
      <c r="U62" s="241"/>
      <c r="V62" s="1132">
        <v>150</v>
      </c>
      <c r="W62" s="978" t="s">
        <v>190</v>
      </c>
      <c r="X62" s="553"/>
      <c r="Y62" s="416">
        <v>0.98</v>
      </c>
      <c r="Z62" s="38">
        <f>($Y62*E62)+AN62</f>
        <v>1108</v>
      </c>
      <c r="AA62" s="38">
        <f>($Y62*F62)+(0.02*F62)</f>
        <v>938</v>
      </c>
      <c r="AB62" s="418">
        <v>0.48</v>
      </c>
      <c r="AC62" s="38">
        <f>($AB62*J62)+(0.02*J62)</f>
        <v>18.7</v>
      </c>
      <c r="AD62" s="38">
        <f>($AB62*K62)+(0.02*K62)</f>
        <v>17.399999999999999</v>
      </c>
      <c r="AE62" s="514">
        <v>0.5</v>
      </c>
      <c r="AF62" s="79">
        <v>0</v>
      </c>
      <c r="AG62" s="79">
        <v>0</v>
      </c>
      <c r="AH62" s="394">
        <v>0</v>
      </c>
      <c r="AI62" s="424">
        <v>0</v>
      </c>
      <c r="AJ62" s="393">
        <f>Z62+AC62+AF62+AH62</f>
        <v>1126.7</v>
      </c>
      <c r="AK62" s="410">
        <f>AA62+AD62+AG62+AI62</f>
        <v>955.4</v>
      </c>
      <c r="AL62" s="394" t="s">
        <v>26</v>
      </c>
      <c r="AM62" s="394" t="s">
        <v>26</v>
      </c>
      <c r="AN62" s="325">
        <f t="shared" si="7"/>
        <v>22.16</v>
      </c>
      <c r="AO62" s="42"/>
      <c r="AP62" s="42"/>
      <c r="AQ62" s="43"/>
      <c r="AR62" s="167"/>
      <c r="AS62" s="347"/>
      <c r="AT62" s="41"/>
      <c r="AU62" s="44"/>
    </row>
    <row r="63" spans="1:47" ht="28.8" x14ac:dyDescent="0.3">
      <c r="A63" s="1080"/>
      <c r="B63" s="117">
        <v>24</v>
      </c>
      <c r="C63" s="113">
        <v>8.27</v>
      </c>
      <c r="D63" s="138">
        <v>20.329999999999998</v>
      </c>
      <c r="E63" s="6">
        <f>45.7*20</f>
        <v>914</v>
      </c>
      <c r="F63" s="127" t="s">
        <v>26</v>
      </c>
      <c r="G63" s="117">
        <f>108*5</f>
        <v>540</v>
      </c>
      <c r="H63" s="113">
        <v>8.6300000000000008</v>
      </c>
      <c r="I63" s="6">
        <v>20.65</v>
      </c>
      <c r="J63" s="127">
        <f>17.8*20</f>
        <v>356</v>
      </c>
      <c r="K63" s="117" t="s">
        <v>26</v>
      </c>
      <c r="L63" s="118" t="s">
        <v>26</v>
      </c>
      <c r="M63" s="127" t="s">
        <v>26</v>
      </c>
      <c r="N63" s="117" t="s">
        <v>26</v>
      </c>
      <c r="O63" s="118" t="s">
        <v>26</v>
      </c>
      <c r="P63" s="126" t="s">
        <v>26</v>
      </c>
      <c r="Q63" s="117" t="s">
        <v>26</v>
      </c>
      <c r="R63" s="113" t="s">
        <v>26</v>
      </c>
      <c r="S63" s="6" t="s">
        <v>26</v>
      </c>
      <c r="T63" s="6" t="s">
        <v>26</v>
      </c>
      <c r="U63" s="242"/>
      <c r="V63" s="1083"/>
      <c r="W63" s="979" t="s">
        <v>189</v>
      </c>
      <c r="X63" s="553"/>
      <c r="Y63" s="419">
        <f t="shared" ref="Y63:Y73" si="8">Y62-0.02</f>
        <v>0.96</v>
      </c>
      <c r="Z63" s="138">
        <f>($Y63*E63)+SUM(AN62:AN63)</f>
        <v>917.87999999999988</v>
      </c>
      <c r="AA63" s="38" t="s">
        <v>26</v>
      </c>
      <c r="AB63" s="419" t="s">
        <v>26</v>
      </c>
      <c r="AC63" s="138" t="s">
        <v>26</v>
      </c>
      <c r="AD63" s="138" t="s">
        <v>26</v>
      </c>
      <c r="AE63" s="333">
        <v>0.5</v>
      </c>
      <c r="AF63" s="325" t="s">
        <v>26</v>
      </c>
      <c r="AG63" s="325" t="s">
        <v>26</v>
      </c>
      <c r="AH63" s="334" t="s">
        <v>26</v>
      </c>
      <c r="AI63" s="384" t="s">
        <v>26</v>
      </c>
      <c r="AJ63" s="333" t="s">
        <v>26</v>
      </c>
      <c r="AK63" s="21" t="s">
        <v>26</v>
      </c>
      <c r="AL63" s="325" t="s">
        <v>26</v>
      </c>
      <c r="AM63" s="325" t="s">
        <v>26</v>
      </c>
      <c r="AN63" s="325">
        <f t="shared" si="7"/>
        <v>18.28</v>
      </c>
      <c r="AO63" s="7"/>
      <c r="AP63" s="7"/>
      <c r="AQ63" s="35"/>
      <c r="AR63" s="7"/>
      <c r="AS63" s="873"/>
      <c r="AT63" s="30"/>
      <c r="AU63" s="31"/>
    </row>
    <row r="64" spans="1:47" x14ac:dyDescent="0.3">
      <c r="A64" s="1080"/>
      <c r="B64" s="117">
        <f>24*4</f>
        <v>96</v>
      </c>
      <c r="C64" s="269">
        <v>8.49</v>
      </c>
      <c r="D64" s="259">
        <v>22.4</v>
      </c>
      <c r="E64" s="127">
        <f>42.2*20</f>
        <v>844</v>
      </c>
      <c r="F64" s="127" t="s">
        <v>26</v>
      </c>
      <c r="G64" s="117">
        <f>367*5</f>
        <v>1835</v>
      </c>
      <c r="H64" s="269" t="s">
        <v>26</v>
      </c>
      <c r="I64" s="127" t="s">
        <v>26</v>
      </c>
      <c r="J64" s="127" t="s">
        <v>26</v>
      </c>
      <c r="K64" s="117" t="s">
        <v>26</v>
      </c>
      <c r="L64" s="128" t="s">
        <v>26</v>
      </c>
      <c r="M64" s="127" t="s">
        <v>26</v>
      </c>
      <c r="N64" s="117" t="s">
        <v>26</v>
      </c>
      <c r="O64" s="128" t="s">
        <v>26</v>
      </c>
      <c r="P64" s="126" t="s">
        <v>26</v>
      </c>
      <c r="Q64" s="117" t="s">
        <v>26</v>
      </c>
      <c r="R64" s="269" t="s">
        <v>26</v>
      </c>
      <c r="S64" s="127" t="s">
        <v>26</v>
      </c>
      <c r="T64" s="127" t="s">
        <v>26</v>
      </c>
      <c r="U64" s="31"/>
      <c r="V64" s="1083"/>
      <c r="W64" s="979" t="s">
        <v>126</v>
      </c>
      <c r="X64" s="553"/>
      <c r="Y64" s="420">
        <f t="shared" si="8"/>
        <v>0.94</v>
      </c>
      <c r="Z64" s="126">
        <f>($Y64*E64)+SUM(AN62:AN64)</f>
        <v>850.67999999999984</v>
      </c>
      <c r="AA64" s="126" t="s">
        <v>26</v>
      </c>
      <c r="AB64" s="420" t="s">
        <v>26</v>
      </c>
      <c r="AC64" s="126" t="s">
        <v>26</v>
      </c>
      <c r="AD64" s="126" t="s">
        <v>26</v>
      </c>
      <c r="AE64" s="411">
        <v>0.5</v>
      </c>
      <c r="AF64" s="295" t="s">
        <v>26</v>
      </c>
      <c r="AG64" s="295" t="s">
        <v>26</v>
      </c>
      <c r="AH64" s="386" t="s">
        <v>26</v>
      </c>
      <c r="AI64" s="425" t="s">
        <v>26</v>
      </c>
      <c r="AJ64" s="411" t="s">
        <v>26</v>
      </c>
      <c r="AK64" s="408" t="s">
        <v>26</v>
      </c>
      <c r="AL64" s="295" t="s">
        <v>26</v>
      </c>
      <c r="AM64" s="295" t="s">
        <v>26</v>
      </c>
      <c r="AN64" s="325">
        <f t="shared" si="7"/>
        <v>16.88</v>
      </c>
      <c r="AO64" s="413"/>
      <c r="AP64" s="413"/>
      <c r="AQ64" s="431"/>
      <c r="AR64" s="413"/>
      <c r="AS64" s="874"/>
      <c r="AT64" s="473"/>
      <c r="AU64" s="414"/>
    </row>
    <row r="65" spans="1:47" s="448" customFormat="1" ht="15" thickBot="1" x14ac:dyDescent="0.35">
      <c r="A65" s="1081"/>
      <c r="B65" s="434">
        <f>24*5</f>
        <v>120</v>
      </c>
      <c r="C65" s="435">
        <v>8.42</v>
      </c>
      <c r="D65" s="436">
        <v>23.6</v>
      </c>
      <c r="E65" s="437">
        <f>38.4*20</f>
        <v>768</v>
      </c>
      <c r="F65" s="437">
        <v>672</v>
      </c>
      <c r="G65" s="434">
        <f>113*5</f>
        <v>565</v>
      </c>
      <c r="H65" s="435">
        <v>8.3800000000000008</v>
      </c>
      <c r="I65" s="437">
        <v>23.3</v>
      </c>
      <c r="J65" s="437">
        <f>31.1*20</f>
        <v>622</v>
      </c>
      <c r="K65" s="434">
        <v>537</v>
      </c>
      <c r="L65" s="438">
        <v>59.4</v>
      </c>
      <c r="M65" s="437">
        <f>4.31*20</f>
        <v>86.199999999999989</v>
      </c>
      <c r="N65" s="434">
        <f>5.48*20</f>
        <v>109.60000000000001</v>
      </c>
      <c r="O65" s="438">
        <v>61.3</v>
      </c>
      <c r="P65" s="439">
        <v>0</v>
      </c>
      <c r="Q65" s="434">
        <v>0.68200000000000005</v>
      </c>
      <c r="R65" s="435" t="s">
        <v>26</v>
      </c>
      <c r="S65" s="437" t="s">
        <v>26</v>
      </c>
      <c r="T65" s="437" t="s">
        <v>93</v>
      </c>
      <c r="U65" s="439">
        <v>0</v>
      </c>
      <c r="V65" s="1154"/>
      <c r="W65" s="888" t="s">
        <v>86</v>
      </c>
      <c r="X65" s="554"/>
      <c r="Y65" s="440">
        <f>Y64</f>
        <v>0.94</v>
      </c>
      <c r="Z65" s="439">
        <f>($Y65*E65)+SUM(AN62:AN64)</f>
        <v>779.24</v>
      </c>
      <c r="AA65" s="439">
        <f>($Y65*F65)+(0.02*F62)</f>
        <v>650.43999999999994</v>
      </c>
      <c r="AB65" s="440">
        <v>0.48</v>
      </c>
      <c r="AC65" s="439">
        <f>(AB65*J65)+(0.02*J62)</f>
        <v>299.30799999999999</v>
      </c>
      <c r="AD65" s="439">
        <f>($AB65*K65)+(0.02*K62)</f>
        <v>258.45600000000002</v>
      </c>
      <c r="AE65" s="513">
        <v>0.5</v>
      </c>
      <c r="AF65" s="509">
        <f>$AE65*M65</f>
        <v>43.099999999999994</v>
      </c>
      <c r="AG65" s="509">
        <f>$AE65*N65</f>
        <v>54.800000000000004</v>
      </c>
      <c r="AH65" s="441">
        <f>$AE65*P65</f>
        <v>0</v>
      </c>
      <c r="AI65" s="442">
        <f>AE65*Q65</f>
        <v>0.34100000000000003</v>
      </c>
      <c r="AJ65" s="443">
        <f>Z65+AC65+AF65+AH65</f>
        <v>1121.6479999999999</v>
      </c>
      <c r="AK65" s="444">
        <f>AA65+AD65+AG65+AI65</f>
        <v>964.03699999999992</v>
      </c>
      <c r="AL65" s="889">
        <f>AJ65-AJ62</f>
        <v>-5.0520000000001346</v>
      </c>
      <c r="AM65" s="889">
        <f>AK65-AK62</f>
        <v>8.6369999999999436</v>
      </c>
      <c r="AN65" s="445" t="s">
        <v>26</v>
      </c>
      <c r="AO65" s="445">
        <f>(AF65+AH65)*10/100/(B65/24)</f>
        <v>0.86199999999999988</v>
      </c>
      <c r="AP65" s="446">
        <f>(AF65+AH65)/Z62</f>
        <v>3.8898916967509023E-2</v>
      </c>
      <c r="AQ65" s="447">
        <f>(Z62-Z65)*10/100/(B65/24)</f>
        <v>6.5751999999999997</v>
      </c>
      <c r="AR65" s="446">
        <f>(Z62-Z65)/Z62</f>
        <v>0.29671480144404333</v>
      </c>
      <c r="AS65" s="878">
        <f>((AC65+AF65)-AC62)/Z62</f>
        <v>0.29215523465703974</v>
      </c>
      <c r="AT65" s="475">
        <f>AU65/10</f>
        <v>6.54E-2</v>
      </c>
      <c r="AU65" s="903">
        <f>((G62+$T$1)-G65)/(1000*(B65/24))</f>
        <v>0.65400000000000003</v>
      </c>
    </row>
    <row r="66" spans="1:47" ht="43.8" thickTop="1" x14ac:dyDescent="0.3">
      <c r="A66" s="1150">
        <v>16</v>
      </c>
      <c r="B66" s="114">
        <v>0</v>
      </c>
      <c r="C66" s="316">
        <v>7.98</v>
      </c>
      <c r="D66" s="126">
        <v>18.5</v>
      </c>
      <c r="E66" s="126">
        <v>981</v>
      </c>
      <c r="F66" s="316">
        <f>47.7*20</f>
        <v>954</v>
      </c>
      <c r="G66" s="316">
        <v>1075</v>
      </c>
      <c r="H66" s="211">
        <v>7.82</v>
      </c>
      <c r="I66" s="127">
        <v>19.41</v>
      </c>
      <c r="J66" s="127">
        <v>0</v>
      </c>
      <c r="K66" s="117">
        <v>2.35</v>
      </c>
      <c r="L66" s="315" t="s">
        <v>26</v>
      </c>
      <c r="M66" s="138" t="s">
        <v>26</v>
      </c>
      <c r="N66" s="117" t="s">
        <v>26</v>
      </c>
      <c r="O66" s="30"/>
      <c r="P66" s="167"/>
      <c r="Q66" s="260"/>
      <c r="R66" s="314" t="s">
        <v>26</v>
      </c>
      <c r="S66" s="127" t="s">
        <v>26</v>
      </c>
      <c r="T66" s="127" t="s">
        <v>26</v>
      </c>
      <c r="U66" s="321"/>
      <c r="V66" s="1132">
        <v>150</v>
      </c>
      <c r="W66" s="979" t="s">
        <v>193</v>
      </c>
      <c r="X66" s="553"/>
      <c r="Y66" s="416">
        <v>0.98</v>
      </c>
      <c r="Z66" s="38">
        <f>($Y66*E66)+AN66</f>
        <v>981</v>
      </c>
      <c r="AA66" s="38">
        <f>($Y66*F66)+(0.02*F66)</f>
        <v>954</v>
      </c>
      <c r="AB66" s="418">
        <v>0.48</v>
      </c>
      <c r="AC66" s="38">
        <f>($AB66*J66)+(0.02*J66)</f>
        <v>0</v>
      </c>
      <c r="AD66" s="38">
        <f>($AB66*K66)+(0.02*K66)</f>
        <v>1.1749999999999998</v>
      </c>
      <c r="AE66" s="514">
        <v>0.3</v>
      </c>
      <c r="AF66" s="79">
        <v>0</v>
      </c>
      <c r="AG66" s="79">
        <v>0</v>
      </c>
      <c r="AH66" s="394">
        <v>0</v>
      </c>
      <c r="AI66" s="424">
        <v>0</v>
      </c>
      <c r="AJ66" s="393">
        <f>Z66+AC66+AF66+AH66</f>
        <v>981</v>
      </c>
      <c r="AK66" s="410">
        <f>AA66+AD66+AG66+AI66</f>
        <v>955.17499999999995</v>
      </c>
      <c r="AL66" s="394" t="s">
        <v>26</v>
      </c>
      <c r="AM66" s="394" t="s">
        <v>26</v>
      </c>
      <c r="AN66" s="325">
        <f t="shared" si="7"/>
        <v>19.62</v>
      </c>
      <c r="AO66" s="42"/>
      <c r="AP66" s="42"/>
      <c r="AQ66" s="43"/>
      <c r="AR66" s="167"/>
      <c r="AS66" s="341"/>
      <c r="AT66" s="470"/>
      <c r="AU66" s="341"/>
    </row>
    <row r="67" spans="1:47" ht="28.8" x14ac:dyDescent="0.3">
      <c r="A67" s="1080"/>
      <c r="B67" s="117">
        <v>88</v>
      </c>
      <c r="C67" s="113">
        <v>8.3699999999999992</v>
      </c>
      <c r="D67" s="138">
        <v>16.93</v>
      </c>
      <c r="E67" s="6">
        <v>369</v>
      </c>
      <c r="F67" s="127" t="s">
        <v>26</v>
      </c>
      <c r="G67" s="117">
        <f>34.4*5</f>
        <v>172</v>
      </c>
      <c r="H67" s="113" t="s">
        <v>26</v>
      </c>
      <c r="I67" s="6" t="s">
        <v>26</v>
      </c>
      <c r="J67" s="127" t="s">
        <v>26</v>
      </c>
      <c r="K67" s="117" t="s">
        <v>26</v>
      </c>
      <c r="L67" s="118" t="s">
        <v>26</v>
      </c>
      <c r="M67" s="127" t="s">
        <v>26</v>
      </c>
      <c r="N67" s="117" t="s">
        <v>26</v>
      </c>
      <c r="O67" s="30"/>
      <c r="P67" s="7"/>
      <c r="Q67" s="31"/>
      <c r="R67" s="113" t="s">
        <v>26</v>
      </c>
      <c r="S67" s="6" t="s">
        <v>26</v>
      </c>
      <c r="T67" s="6" t="s">
        <v>26</v>
      </c>
      <c r="U67" s="242"/>
      <c r="V67" s="1083"/>
      <c r="W67" s="979" t="s">
        <v>189</v>
      </c>
      <c r="X67" s="553"/>
      <c r="Y67" s="419">
        <f t="shared" si="8"/>
        <v>0.96</v>
      </c>
      <c r="Z67" s="138">
        <f>($Y67*E67)+SUM(AN66:AN67)</f>
        <v>381.24</v>
      </c>
      <c r="AA67" s="38" t="s">
        <v>26</v>
      </c>
      <c r="AB67" s="419" t="s">
        <v>26</v>
      </c>
      <c r="AC67" s="138" t="s">
        <v>26</v>
      </c>
      <c r="AD67" s="138" t="s">
        <v>26</v>
      </c>
      <c r="AE67" s="333">
        <v>0.3</v>
      </c>
      <c r="AF67" s="325" t="s">
        <v>26</v>
      </c>
      <c r="AG67" s="325" t="s">
        <v>26</v>
      </c>
      <c r="AH67" s="334" t="s">
        <v>26</v>
      </c>
      <c r="AI67" s="384" t="s">
        <v>26</v>
      </c>
      <c r="AJ67" s="333" t="s">
        <v>26</v>
      </c>
      <c r="AK67" s="21" t="s">
        <v>26</v>
      </c>
      <c r="AL67" s="325" t="s">
        <v>26</v>
      </c>
      <c r="AM67" s="325" t="s">
        <v>26</v>
      </c>
      <c r="AN67" s="325">
        <f t="shared" si="7"/>
        <v>7.38</v>
      </c>
      <c r="AO67" s="7"/>
      <c r="AP67" s="7"/>
      <c r="AQ67" s="35"/>
      <c r="AR67" s="7"/>
      <c r="AS67" s="859"/>
      <c r="AT67" s="471"/>
      <c r="AU67" s="859"/>
    </row>
    <row r="68" spans="1:47" x14ac:dyDescent="0.3">
      <c r="A68" s="1080"/>
      <c r="B68" s="117" t="s">
        <v>101</v>
      </c>
      <c r="C68" s="316">
        <v>8.1199999999999992</v>
      </c>
      <c r="D68" s="320">
        <v>19.13</v>
      </c>
      <c r="E68" s="127">
        <v>348</v>
      </c>
      <c r="F68" s="127" t="s">
        <v>26</v>
      </c>
      <c r="G68" s="117">
        <f>446*5</f>
        <v>2230</v>
      </c>
      <c r="H68" s="316" t="s">
        <v>26</v>
      </c>
      <c r="I68" s="127" t="s">
        <v>26</v>
      </c>
      <c r="J68" s="127" t="s">
        <v>26</v>
      </c>
      <c r="K68" s="117" t="s">
        <v>26</v>
      </c>
      <c r="L68" s="128" t="s">
        <v>26</v>
      </c>
      <c r="M68" s="127" t="s">
        <v>26</v>
      </c>
      <c r="N68" s="117" t="s">
        <v>26</v>
      </c>
      <c r="O68" s="30"/>
      <c r="P68" s="7"/>
      <c r="Q68" s="31"/>
      <c r="R68" s="316" t="s">
        <v>26</v>
      </c>
      <c r="S68" s="127" t="s">
        <v>26</v>
      </c>
      <c r="T68" s="127" t="s">
        <v>26</v>
      </c>
      <c r="U68" s="31"/>
      <c r="V68" s="1083"/>
      <c r="W68" s="979" t="s">
        <v>112</v>
      </c>
      <c r="X68" s="553"/>
      <c r="Y68" s="420">
        <f t="shared" si="8"/>
        <v>0.94</v>
      </c>
      <c r="Z68" s="126">
        <f>($Y68*E68)+SUM(AN66:AN68)</f>
        <v>361.08</v>
      </c>
      <c r="AA68" s="126" t="s">
        <v>26</v>
      </c>
      <c r="AB68" s="420" t="s">
        <v>26</v>
      </c>
      <c r="AC68" s="126" t="s">
        <v>26</v>
      </c>
      <c r="AD68" s="126" t="s">
        <v>26</v>
      </c>
      <c r="AE68" s="411">
        <v>0.3</v>
      </c>
      <c r="AF68" s="295" t="s">
        <v>26</v>
      </c>
      <c r="AG68" s="295" t="s">
        <v>26</v>
      </c>
      <c r="AH68" s="386" t="s">
        <v>26</v>
      </c>
      <c r="AI68" s="425" t="s">
        <v>26</v>
      </c>
      <c r="AJ68" s="411" t="s">
        <v>26</v>
      </c>
      <c r="AK68" s="408" t="s">
        <v>26</v>
      </c>
      <c r="AL68" s="295" t="s">
        <v>26</v>
      </c>
      <c r="AM68" s="295" t="s">
        <v>26</v>
      </c>
      <c r="AN68" s="325">
        <f t="shared" si="7"/>
        <v>6.96</v>
      </c>
      <c r="AO68" s="413"/>
      <c r="AP68" s="413"/>
      <c r="AQ68" s="431"/>
      <c r="AR68" s="413"/>
      <c r="AS68" s="863"/>
      <c r="AT68" s="473"/>
      <c r="AU68" s="863"/>
    </row>
    <row r="69" spans="1:47" s="311" customFormat="1" ht="15" thickBot="1" x14ac:dyDescent="0.35">
      <c r="A69" s="1081"/>
      <c r="B69" s="305">
        <v>114.5</v>
      </c>
      <c r="C69" s="306">
        <v>8.07</v>
      </c>
      <c r="D69" s="449">
        <v>17.100000000000001</v>
      </c>
      <c r="E69" s="308">
        <v>257</v>
      </c>
      <c r="F69" s="308">
        <v>322</v>
      </c>
      <c r="G69" s="305">
        <f>140*5</f>
        <v>700</v>
      </c>
      <c r="H69" s="306">
        <v>10.96</v>
      </c>
      <c r="I69" s="308">
        <v>25.9</v>
      </c>
      <c r="J69" s="308">
        <v>561</v>
      </c>
      <c r="K69" s="305">
        <v>611</v>
      </c>
      <c r="L69" s="309">
        <v>29.2</v>
      </c>
      <c r="M69" s="308">
        <v>1210</v>
      </c>
      <c r="N69" s="305">
        <f>66.6*20</f>
        <v>1332</v>
      </c>
      <c r="O69" s="450"/>
      <c r="P69" s="451"/>
      <c r="Q69" s="452"/>
      <c r="R69" s="306" t="s">
        <v>26</v>
      </c>
      <c r="S69" s="308" t="s">
        <v>26</v>
      </c>
      <c r="T69" s="308" t="s">
        <v>26</v>
      </c>
      <c r="U69" s="305">
        <v>22.2</v>
      </c>
      <c r="V69" s="1084"/>
      <c r="W69" s="590" t="s">
        <v>86</v>
      </c>
      <c r="X69" s="554"/>
      <c r="Y69" s="417">
        <f>Y68</f>
        <v>0.94</v>
      </c>
      <c r="Z69" s="307">
        <f>($Y69*E69)+SUM(AN66:AN68)</f>
        <v>275.53999999999996</v>
      </c>
      <c r="AA69" s="307">
        <f>($Y69*F69)+(0.02*F66)</f>
        <v>321.76</v>
      </c>
      <c r="AB69" s="417">
        <v>0.48</v>
      </c>
      <c r="AC69" s="307">
        <f>(AB69*J69)+(0.02*J66)</f>
        <v>269.27999999999997</v>
      </c>
      <c r="AD69" s="307">
        <f>($AB69*K69)+(0.02*K66)</f>
        <v>293.327</v>
      </c>
      <c r="AE69" s="510">
        <v>0.3</v>
      </c>
      <c r="AF69" s="483">
        <f>$AE69*M69</f>
        <v>363</v>
      </c>
      <c r="AG69" s="483">
        <f>$AE69*N69</f>
        <v>399.59999999999997</v>
      </c>
      <c r="AH69" s="426">
        <f>$AE69*P69</f>
        <v>0</v>
      </c>
      <c r="AI69" s="427">
        <f>AE69*Q69</f>
        <v>0</v>
      </c>
      <c r="AJ69" s="412">
        <f>Z69+AC69+AF69+AH69</f>
        <v>907.81999999999994</v>
      </c>
      <c r="AK69" s="313">
        <f>AA69+AD69+AG69+AI69</f>
        <v>1014.6869999999999</v>
      </c>
      <c r="AL69" s="388">
        <f>AJ69-AJ66</f>
        <v>-73.180000000000064</v>
      </c>
      <c r="AM69" s="388">
        <f>AJ69-AJ66</f>
        <v>-73.180000000000064</v>
      </c>
      <c r="AN69" s="388" t="s">
        <v>26</v>
      </c>
      <c r="AO69" s="388">
        <f>(AF69+AH69)*10/100/(B69/24)</f>
        <v>7.6087336244541479</v>
      </c>
      <c r="AP69" s="389">
        <f>(AF69+AH69)/Z66</f>
        <v>0.37003058103975534</v>
      </c>
      <c r="AQ69" s="432">
        <f>(Z66-Z69)*10/100/(B69/24)</f>
        <v>14.786934497816596</v>
      </c>
      <c r="AR69" s="389">
        <f>(Z66-Z69)/Z66</f>
        <v>0.71912334352701324</v>
      </c>
      <c r="AS69" s="861">
        <f>((AC69+AF69)-AC66)/Z66</f>
        <v>0.64452599388379206</v>
      </c>
      <c r="AT69" s="472">
        <f>AU69/10</f>
        <v>6.6550218340611353E-2</v>
      </c>
      <c r="AU69" s="920">
        <f>((G66+$T$2)-G69)/(1000*(B69/24))</f>
        <v>0.66550218340611356</v>
      </c>
    </row>
    <row r="70" spans="1:47" ht="15" thickTop="1" x14ac:dyDescent="0.3">
      <c r="A70" s="1150">
        <v>17</v>
      </c>
      <c r="B70" s="114">
        <v>0</v>
      </c>
      <c r="C70" s="319">
        <v>7.28</v>
      </c>
      <c r="D70" s="126">
        <v>20.62</v>
      </c>
      <c r="E70" s="126">
        <v>941</v>
      </c>
      <c r="F70" s="319">
        <f>67.7*20</f>
        <v>1354</v>
      </c>
      <c r="G70" s="319">
        <f>371*5</f>
        <v>1855</v>
      </c>
      <c r="H70" s="211">
        <v>7.22</v>
      </c>
      <c r="I70" s="127">
        <v>19.68</v>
      </c>
      <c r="J70" s="127">
        <v>0</v>
      </c>
      <c r="K70" s="117">
        <v>1.88</v>
      </c>
      <c r="L70" s="317" t="s">
        <v>26</v>
      </c>
      <c r="M70" s="138" t="s">
        <v>26</v>
      </c>
      <c r="N70" s="117" t="s">
        <v>26</v>
      </c>
      <c r="O70" s="30"/>
      <c r="P70" s="167"/>
      <c r="Q70" s="327"/>
      <c r="R70" s="318" t="s">
        <v>26</v>
      </c>
      <c r="S70" s="127" t="s">
        <v>26</v>
      </c>
      <c r="T70" s="127" t="s">
        <v>26</v>
      </c>
      <c r="U70" s="169"/>
      <c r="V70" s="1082">
        <v>150</v>
      </c>
      <c r="W70" s="979" t="s">
        <v>112</v>
      </c>
      <c r="X70" s="553"/>
      <c r="Y70" s="416">
        <v>0.98</v>
      </c>
      <c r="Z70" s="38">
        <f>($Y70*E70)+AN70</f>
        <v>941</v>
      </c>
      <c r="AA70" s="38">
        <f>($Y70*F70)+(0.02*F70)</f>
        <v>1354</v>
      </c>
      <c r="AB70" s="418">
        <v>0.48</v>
      </c>
      <c r="AC70" s="38">
        <f>($AB70*J70)+(0.02*J70)</f>
        <v>0</v>
      </c>
      <c r="AD70" s="38">
        <f>($AB70*K70)+(0.02*K70)</f>
        <v>0.93999999999999984</v>
      </c>
      <c r="AE70" s="514">
        <v>0.3</v>
      </c>
      <c r="AF70" s="79">
        <v>0</v>
      </c>
      <c r="AG70" s="79">
        <v>0</v>
      </c>
      <c r="AH70" s="517" t="s">
        <v>26</v>
      </c>
      <c r="AI70" s="518" t="s">
        <v>26</v>
      </c>
      <c r="AJ70" s="393">
        <f>Z70+AC70+AF70</f>
        <v>941</v>
      </c>
      <c r="AK70" s="410">
        <f>AA70+AD70+AG70</f>
        <v>1354.94</v>
      </c>
      <c r="AL70" s="394" t="s">
        <v>26</v>
      </c>
      <c r="AM70" s="394" t="s">
        <v>26</v>
      </c>
      <c r="AN70" s="325">
        <f t="shared" si="7"/>
        <v>18.82</v>
      </c>
      <c r="AO70" s="42"/>
      <c r="AP70" s="42"/>
      <c r="AQ70" s="43"/>
      <c r="AR70" s="167"/>
      <c r="AS70" s="341"/>
      <c r="AT70" s="470"/>
      <c r="AU70" s="341"/>
    </row>
    <row r="71" spans="1:47" x14ac:dyDescent="0.3">
      <c r="A71" s="1080"/>
      <c r="B71" s="10">
        <v>22</v>
      </c>
      <c r="C71" s="319">
        <v>7.75</v>
      </c>
      <c r="D71" s="126">
        <v>18.89</v>
      </c>
      <c r="E71" s="138">
        <v>703</v>
      </c>
      <c r="F71" s="138" t="s">
        <v>26</v>
      </c>
      <c r="G71" s="10">
        <f>97.5*5</f>
        <v>487.5</v>
      </c>
      <c r="H71" s="395" t="s">
        <v>26</v>
      </c>
      <c r="I71" s="127" t="s">
        <v>26</v>
      </c>
      <c r="J71" s="127" t="s">
        <v>26</v>
      </c>
      <c r="K71" s="117" t="s">
        <v>26</v>
      </c>
      <c r="L71" s="128" t="s">
        <v>26</v>
      </c>
      <c r="M71" s="127" t="s">
        <v>26</v>
      </c>
      <c r="N71" s="117" t="s">
        <v>26</v>
      </c>
      <c r="O71" s="30"/>
      <c r="P71" s="7"/>
      <c r="Q71" s="31"/>
      <c r="R71" s="319"/>
      <c r="S71" s="127"/>
      <c r="T71" s="127"/>
      <c r="U71" s="321"/>
      <c r="V71" s="1083"/>
      <c r="W71" s="979" t="s">
        <v>112</v>
      </c>
      <c r="X71" s="553"/>
      <c r="Y71" s="418">
        <f t="shared" si="8"/>
        <v>0.96</v>
      </c>
      <c r="Z71" s="38">
        <f>($Y71*E71)+SUM(AN70:AN71)</f>
        <v>707.76</v>
      </c>
      <c r="AA71" s="38" t="s">
        <v>26</v>
      </c>
      <c r="AB71" s="418" t="s">
        <v>26</v>
      </c>
      <c r="AC71" s="38" t="s">
        <v>26</v>
      </c>
      <c r="AD71" s="38" t="s">
        <v>26</v>
      </c>
      <c r="AE71" s="514">
        <v>0.3</v>
      </c>
      <c r="AF71" s="79" t="s">
        <v>26</v>
      </c>
      <c r="AG71" s="79" t="s">
        <v>26</v>
      </c>
      <c r="AH71" s="519" t="s">
        <v>26</v>
      </c>
      <c r="AI71" s="520" t="s">
        <v>26</v>
      </c>
      <c r="AJ71" s="393" t="s">
        <v>26</v>
      </c>
      <c r="AK71" s="410" t="s">
        <v>26</v>
      </c>
      <c r="AL71" s="394" t="s">
        <v>26</v>
      </c>
      <c r="AM71" s="394" t="s">
        <v>26</v>
      </c>
      <c r="AN71" s="325">
        <f t="shared" si="7"/>
        <v>14.06</v>
      </c>
      <c r="AO71" s="42"/>
      <c r="AP71" s="42"/>
      <c r="AQ71" s="43"/>
      <c r="AR71" s="42"/>
      <c r="AS71" s="854"/>
      <c r="AT71" s="30"/>
      <c r="AU71" s="853"/>
    </row>
    <row r="72" spans="1:47" ht="28.8" x14ac:dyDescent="0.3">
      <c r="A72" s="1080"/>
      <c r="B72" s="117">
        <v>48</v>
      </c>
      <c r="C72" s="113">
        <v>7.53</v>
      </c>
      <c r="D72" s="138">
        <v>17.809999999999999</v>
      </c>
      <c r="E72" s="6">
        <v>590</v>
      </c>
      <c r="F72" s="127" t="s">
        <v>26</v>
      </c>
      <c r="G72" s="114">
        <f>61.4*5</f>
        <v>307</v>
      </c>
      <c r="H72" s="113" t="s">
        <v>26</v>
      </c>
      <c r="I72" s="6" t="s">
        <v>26</v>
      </c>
      <c r="J72" s="127" t="s">
        <v>26</v>
      </c>
      <c r="K72" s="117" t="s">
        <v>26</v>
      </c>
      <c r="L72" s="118" t="s">
        <v>26</v>
      </c>
      <c r="M72" s="127" t="s">
        <v>26</v>
      </c>
      <c r="N72" s="117" t="s">
        <v>26</v>
      </c>
      <c r="O72" s="30"/>
      <c r="P72" s="7"/>
      <c r="Q72" s="44"/>
      <c r="R72" s="113" t="s">
        <v>26</v>
      </c>
      <c r="S72" s="6" t="s">
        <v>26</v>
      </c>
      <c r="T72" s="6" t="s">
        <v>26</v>
      </c>
      <c r="U72" s="242"/>
      <c r="V72" s="1083"/>
      <c r="W72" s="979" t="s">
        <v>194</v>
      </c>
      <c r="X72" s="553"/>
      <c r="Y72" s="419">
        <f t="shared" si="8"/>
        <v>0.94</v>
      </c>
      <c r="Z72" s="138">
        <f>($Y72*E72)+SUM(AN70:AN72)</f>
        <v>599.28</v>
      </c>
      <c r="AA72" s="38" t="s">
        <v>26</v>
      </c>
      <c r="AB72" s="419" t="s">
        <v>26</v>
      </c>
      <c r="AC72" s="138" t="s">
        <v>26</v>
      </c>
      <c r="AD72" s="138" t="s">
        <v>26</v>
      </c>
      <c r="AE72" s="333">
        <v>0.3</v>
      </c>
      <c r="AF72" s="325" t="s">
        <v>26</v>
      </c>
      <c r="AG72" s="325" t="s">
        <v>26</v>
      </c>
      <c r="AH72" s="521" t="s">
        <v>26</v>
      </c>
      <c r="AI72" s="522" t="s">
        <v>26</v>
      </c>
      <c r="AJ72" s="333" t="s">
        <v>26</v>
      </c>
      <c r="AK72" s="21" t="s">
        <v>26</v>
      </c>
      <c r="AL72" s="325" t="s">
        <v>26</v>
      </c>
      <c r="AM72" s="325" t="s">
        <v>26</v>
      </c>
      <c r="AN72" s="325">
        <f t="shared" si="7"/>
        <v>11.8</v>
      </c>
      <c r="AO72" s="7"/>
      <c r="AP72" s="7"/>
      <c r="AQ72" s="35"/>
      <c r="AR72" s="7"/>
      <c r="AS72" s="859"/>
      <c r="AT72" s="471"/>
      <c r="AU72" s="859"/>
    </row>
    <row r="73" spans="1:47" x14ac:dyDescent="0.3">
      <c r="A73" s="1080"/>
      <c r="B73" s="117" t="s">
        <v>105</v>
      </c>
      <c r="C73" s="319">
        <v>7.65</v>
      </c>
      <c r="D73" s="320">
        <v>22.1</v>
      </c>
      <c r="E73" s="127">
        <v>513</v>
      </c>
      <c r="F73" s="127" t="s">
        <v>26</v>
      </c>
      <c r="G73" s="117">
        <f>954*5</f>
        <v>4770</v>
      </c>
      <c r="H73" s="319" t="s">
        <v>26</v>
      </c>
      <c r="I73" s="127" t="s">
        <v>26</v>
      </c>
      <c r="J73" s="127" t="s">
        <v>26</v>
      </c>
      <c r="K73" s="117" t="s">
        <v>26</v>
      </c>
      <c r="L73" s="128" t="s">
        <v>26</v>
      </c>
      <c r="M73" s="127" t="s">
        <v>26</v>
      </c>
      <c r="N73" s="117" t="s">
        <v>26</v>
      </c>
      <c r="O73" s="30"/>
      <c r="P73" s="7"/>
      <c r="Q73" s="31"/>
      <c r="R73" s="319" t="s">
        <v>26</v>
      </c>
      <c r="S73" s="127" t="s">
        <v>26</v>
      </c>
      <c r="T73" s="127" t="s">
        <v>26</v>
      </c>
      <c r="U73" s="31"/>
      <c r="V73" s="1083"/>
      <c r="W73" s="979" t="s">
        <v>112</v>
      </c>
      <c r="X73" s="553"/>
      <c r="Y73" s="420">
        <f t="shared" si="8"/>
        <v>0.91999999999999993</v>
      </c>
      <c r="Z73" s="126">
        <f>($Y73*E73)+SUM(AN70:AN73)</f>
        <v>526.9</v>
      </c>
      <c r="AA73" s="126" t="s">
        <v>26</v>
      </c>
      <c r="AB73" s="420" t="s">
        <v>26</v>
      </c>
      <c r="AC73" s="126" t="s">
        <v>26</v>
      </c>
      <c r="AD73" s="126" t="s">
        <v>26</v>
      </c>
      <c r="AE73" s="411">
        <v>0.3</v>
      </c>
      <c r="AF73" s="295" t="s">
        <v>26</v>
      </c>
      <c r="AG73" s="295" t="s">
        <v>26</v>
      </c>
      <c r="AH73" s="523" t="s">
        <v>26</v>
      </c>
      <c r="AI73" s="524" t="s">
        <v>26</v>
      </c>
      <c r="AJ73" s="411" t="s">
        <v>26</v>
      </c>
      <c r="AK73" s="408" t="s">
        <v>26</v>
      </c>
      <c r="AL73" s="295" t="s">
        <v>26</v>
      </c>
      <c r="AM73" s="295" t="s">
        <v>26</v>
      </c>
      <c r="AN73" s="325">
        <f t="shared" si="7"/>
        <v>10.26</v>
      </c>
      <c r="AO73" s="413"/>
      <c r="AP73" s="413"/>
      <c r="AQ73" s="431"/>
      <c r="AR73" s="413"/>
      <c r="AS73" s="863"/>
      <c r="AT73" s="473"/>
      <c r="AU73" s="863"/>
    </row>
    <row r="74" spans="1:47" s="468" customFormat="1" ht="15" thickBot="1" x14ac:dyDescent="0.35">
      <c r="A74" s="1081"/>
      <c r="B74" s="453">
        <v>120</v>
      </c>
      <c r="C74" s="454">
        <v>7.69</v>
      </c>
      <c r="D74" s="455">
        <v>18.440000000000001</v>
      </c>
      <c r="E74" s="456">
        <v>400</v>
      </c>
      <c r="F74" s="456">
        <v>459</v>
      </c>
      <c r="G74" s="453">
        <f>84*5</f>
        <v>420</v>
      </c>
      <c r="H74" s="454">
        <v>10.6</v>
      </c>
      <c r="I74" s="456">
        <v>25.9</v>
      </c>
      <c r="J74" s="456">
        <v>422</v>
      </c>
      <c r="K74" s="453">
        <v>571</v>
      </c>
      <c r="L74" s="457">
        <v>34.299999999999997</v>
      </c>
      <c r="M74" s="456">
        <v>1050</v>
      </c>
      <c r="N74" s="453">
        <f>65.8*20</f>
        <v>1316</v>
      </c>
      <c r="O74" s="458"/>
      <c r="P74" s="459"/>
      <c r="Q74" s="460"/>
      <c r="R74" s="454" t="s">
        <v>26</v>
      </c>
      <c r="S74" s="456" t="s">
        <v>26</v>
      </c>
      <c r="T74" s="456" t="s">
        <v>26</v>
      </c>
      <c r="U74" s="453">
        <v>18.100000000000001</v>
      </c>
      <c r="V74" s="1153"/>
      <c r="W74" s="916" t="s">
        <v>86</v>
      </c>
      <c r="X74" s="554"/>
      <c r="Y74" s="462">
        <f>Y73</f>
        <v>0.91999999999999993</v>
      </c>
      <c r="Z74" s="461">
        <f>($Y74*E74)+SUM(AN70:AN73)</f>
        <v>422.94</v>
      </c>
      <c r="AA74" s="461">
        <f>($Y74*F74)+(0.02*F70)</f>
        <v>449.35999999999996</v>
      </c>
      <c r="AB74" s="462">
        <f>AB70</f>
        <v>0.48</v>
      </c>
      <c r="AC74" s="461">
        <f>(AB74*J74)+(0.02*J70)</f>
        <v>202.56</v>
      </c>
      <c r="AD74" s="950">
        <f>($AB74*K74)+(0.02*K70)</f>
        <v>274.11759999999998</v>
      </c>
      <c r="AE74" s="515">
        <v>0.3</v>
      </c>
      <c r="AF74" s="516">
        <f>$AE74*M74</f>
        <v>315</v>
      </c>
      <c r="AG74" s="516">
        <f>$AE74*N74</f>
        <v>394.8</v>
      </c>
      <c r="AH74" s="525" t="s">
        <v>26</v>
      </c>
      <c r="AI74" s="526" t="s">
        <v>26</v>
      </c>
      <c r="AJ74" s="463">
        <f t="shared" ref="AJ74:AK76" si="9">Z74+AC74+AF74</f>
        <v>940.5</v>
      </c>
      <c r="AK74" s="464">
        <f t="shared" si="9"/>
        <v>1118.2775999999999</v>
      </c>
      <c r="AL74" s="917">
        <f>AJ74-AJ70</f>
        <v>-0.5</v>
      </c>
      <c r="AM74" s="917">
        <f>AK74-AK70</f>
        <v>-236.66240000000016</v>
      </c>
      <c r="AN74" s="465" t="s">
        <v>26</v>
      </c>
      <c r="AO74" s="465">
        <f>(AF74)*10/100/(B74/24)</f>
        <v>6.3</v>
      </c>
      <c r="AP74" s="466">
        <f>AF74/Z70</f>
        <v>0.33475026567481403</v>
      </c>
      <c r="AQ74" s="467">
        <f>(Z70-Z74)*10/100/(B74/24)</f>
        <v>10.3612</v>
      </c>
      <c r="AR74" s="466">
        <f>(Z70-Z74)/Z70</f>
        <v>0.55054197662061632</v>
      </c>
      <c r="AS74" s="918">
        <f>((AC74+AF74)-AC70)/Z70</f>
        <v>0.55001062699256109</v>
      </c>
      <c r="AT74" s="476">
        <f>AU74/10</f>
        <v>9.8699999999999996E-2</v>
      </c>
      <c r="AU74" s="919">
        <f>((G70+$T$3)-G74)/(1000*(B74/24))</f>
        <v>0.98699999999999999</v>
      </c>
    </row>
    <row r="75" spans="1:47" ht="29.4" thickTop="1" x14ac:dyDescent="0.3">
      <c r="A75" s="1150">
        <v>18</v>
      </c>
      <c r="B75" s="114">
        <v>0</v>
      </c>
      <c r="C75" s="971">
        <v>7.57</v>
      </c>
      <c r="D75" s="126">
        <v>22.6</v>
      </c>
      <c r="E75" s="126">
        <v>952</v>
      </c>
      <c r="F75" s="971">
        <f>52.1*20</f>
        <v>1042</v>
      </c>
      <c r="G75" s="971">
        <f>689*5</f>
        <v>3445</v>
      </c>
      <c r="H75" s="211">
        <v>7.02</v>
      </c>
      <c r="I75" s="127">
        <v>19.89</v>
      </c>
      <c r="J75" s="127">
        <v>0</v>
      </c>
      <c r="K75" s="117">
        <v>3.14</v>
      </c>
      <c r="L75" s="970" t="s">
        <v>26</v>
      </c>
      <c r="M75" s="138" t="s">
        <v>26</v>
      </c>
      <c r="N75" s="117" t="s">
        <v>26</v>
      </c>
      <c r="O75" s="30"/>
      <c r="P75" s="167"/>
      <c r="Q75" s="327"/>
      <c r="R75" s="969" t="s">
        <v>26</v>
      </c>
      <c r="S75" s="127" t="s">
        <v>26</v>
      </c>
      <c r="T75" s="127" t="s">
        <v>26</v>
      </c>
      <c r="U75" s="343"/>
      <c r="V75" s="1151">
        <v>150</v>
      </c>
      <c r="W75" s="105" t="s">
        <v>194</v>
      </c>
      <c r="X75" s="554"/>
      <c r="Y75" s="418">
        <v>1.98</v>
      </c>
      <c r="Z75" s="38">
        <f>($Y75*E75)+AN75</f>
        <v>1904</v>
      </c>
      <c r="AA75" s="38">
        <f>($Y75*F75)+(0.02*F75)</f>
        <v>2084</v>
      </c>
      <c r="AB75" s="418">
        <v>0.98</v>
      </c>
      <c r="AC75" s="38">
        <f>($AB75*J75)+(0.02*J75)</f>
        <v>0</v>
      </c>
      <c r="AD75" s="951">
        <f>($AB75*K75)+(0.02*K75)</f>
        <v>3.14</v>
      </c>
      <c r="AE75" s="527">
        <v>0.32500000000000001</v>
      </c>
      <c r="AF75" s="81">
        <v>0</v>
      </c>
      <c r="AG75" s="81">
        <v>0</v>
      </c>
      <c r="AH75" s="519" t="s">
        <v>26</v>
      </c>
      <c r="AI75" s="520" t="s">
        <v>26</v>
      </c>
      <c r="AJ75" s="393">
        <f t="shared" si="9"/>
        <v>1904</v>
      </c>
      <c r="AK75" s="410">
        <f t="shared" si="9"/>
        <v>2087.14</v>
      </c>
      <c r="AL75" s="394" t="s">
        <v>26</v>
      </c>
      <c r="AM75" s="394" t="s">
        <v>26</v>
      </c>
      <c r="AN75" s="325">
        <f t="shared" si="7"/>
        <v>19.04</v>
      </c>
      <c r="AO75" s="42"/>
      <c r="AP75" s="42"/>
      <c r="AQ75" s="43"/>
      <c r="AR75" s="42"/>
      <c r="AS75" s="341"/>
      <c r="AT75" s="469"/>
      <c r="AU75" s="341"/>
    </row>
    <row r="76" spans="1:47" s="468" customFormat="1" ht="15" thickBot="1" x14ac:dyDescent="0.35">
      <c r="A76" s="1087"/>
      <c r="B76" s="624">
        <v>141.5</v>
      </c>
      <c r="C76" s="625">
        <v>8.0500000000000007</v>
      </c>
      <c r="D76" s="626">
        <v>19.420000000000002</v>
      </c>
      <c r="E76" s="627">
        <v>539</v>
      </c>
      <c r="F76" s="627">
        <v>604</v>
      </c>
      <c r="G76" s="624">
        <f>99*5</f>
        <v>495</v>
      </c>
      <c r="H76" s="625">
        <v>10.050000000000001</v>
      </c>
      <c r="I76" s="627">
        <v>23.8</v>
      </c>
      <c r="J76" s="627">
        <v>417</v>
      </c>
      <c r="K76" s="624">
        <v>406</v>
      </c>
      <c r="L76" s="982">
        <v>34.700000000000003</v>
      </c>
      <c r="M76" s="627">
        <v>887</v>
      </c>
      <c r="N76" s="624">
        <f>57*20</f>
        <v>1140</v>
      </c>
      <c r="O76" s="983"/>
      <c r="P76" s="984"/>
      <c r="Q76" s="985"/>
      <c r="R76" s="625" t="s">
        <v>26</v>
      </c>
      <c r="S76" s="627" t="s">
        <v>26</v>
      </c>
      <c r="T76" s="627">
        <v>0.2</v>
      </c>
      <c r="U76" s="986">
        <v>18</v>
      </c>
      <c r="V76" s="1152"/>
      <c r="W76" s="987" t="s">
        <v>86</v>
      </c>
      <c r="X76" s="554"/>
      <c r="Y76" s="636">
        <f>Y75</f>
        <v>1.98</v>
      </c>
      <c r="Z76" s="637">
        <f>($Y76*E76)+AN75</f>
        <v>1086.26</v>
      </c>
      <c r="AA76" s="637">
        <f>($Y76*F76)+(0.02*F75)</f>
        <v>1216.76</v>
      </c>
      <c r="AB76" s="636">
        <v>0.98</v>
      </c>
      <c r="AC76" s="637">
        <f>(AB76*J76)+(0.02*J75)</f>
        <v>408.65999999999997</v>
      </c>
      <c r="AD76" s="988">
        <f>($AB76*K76)+(0.02*K75)</f>
        <v>397.94279999999998</v>
      </c>
      <c r="AE76" s="989">
        <v>0.32500000000000001</v>
      </c>
      <c r="AF76" s="641">
        <f>$AE76*M76</f>
        <v>288.27500000000003</v>
      </c>
      <c r="AG76" s="641">
        <f>$AE76*N76</f>
        <v>370.5</v>
      </c>
      <c r="AH76" s="934" t="s">
        <v>26</v>
      </c>
      <c r="AI76" s="990" t="s">
        <v>26</v>
      </c>
      <c r="AJ76" s="991">
        <f t="shared" si="9"/>
        <v>1783.1950000000002</v>
      </c>
      <c r="AK76" s="628">
        <f>AA76+AD76+AG76</f>
        <v>1985.2028</v>
      </c>
      <c r="AL76" s="641">
        <f>AJ76-AJ75</f>
        <v>-120.80499999999984</v>
      </c>
      <c r="AM76" s="641">
        <f>AK76-AK75</f>
        <v>-101.93719999999985</v>
      </c>
      <c r="AN76" s="641" t="s">
        <v>26</v>
      </c>
      <c r="AO76" s="641">
        <f>(AF76)*10/100/(B76/24)</f>
        <v>4.8894699646643121</v>
      </c>
      <c r="AP76" s="992">
        <f>AF76/Z75</f>
        <v>0.15140493697478993</v>
      </c>
      <c r="AQ76" s="993">
        <f>(Z75-Z76)*10/100/(B76/24)</f>
        <v>13.869795053003534</v>
      </c>
      <c r="AR76" s="992">
        <f>(Z75-Z76)/Z75</f>
        <v>0.42948529411764708</v>
      </c>
      <c r="AS76" s="994">
        <f>((AC76+AF76)-AC75)/Z75</f>
        <v>0.36603728991596635</v>
      </c>
      <c r="AT76" s="995">
        <f>AU76/10</f>
        <v>0.10939929328621908</v>
      </c>
      <c r="AU76" s="996">
        <f>((G75+$T$3)-G76)/(1000*(B76/24))</f>
        <v>1.0939929328621909</v>
      </c>
    </row>
    <row r="77" spans="1:47" ht="15" thickTop="1" x14ac:dyDescent="0.3">
      <c r="A77" s="1142">
        <v>19</v>
      </c>
      <c r="B77" s="541">
        <v>0</v>
      </c>
      <c r="C77" s="542">
        <v>7.51</v>
      </c>
      <c r="D77" s="543">
        <v>21.9</v>
      </c>
      <c r="E77" s="543">
        <v>1300</v>
      </c>
      <c r="F77" s="543">
        <v>1252</v>
      </c>
      <c r="G77" s="548">
        <f>367*5</f>
        <v>1835</v>
      </c>
      <c r="H77" s="546" t="s">
        <v>26</v>
      </c>
      <c r="I77" s="547" t="s">
        <v>26</v>
      </c>
      <c r="J77" s="547" t="s">
        <v>26</v>
      </c>
      <c r="K77" s="548" t="s">
        <v>26</v>
      </c>
      <c r="L77" s="546" t="s">
        <v>26</v>
      </c>
      <c r="M77" s="547" t="s">
        <v>26</v>
      </c>
      <c r="N77" s="1063" t="s">
        <v>26</v>
      </c>
      <c r="O77" s="1064"/>
      <c r="P77" s="549"/>
      <c r="Q77" s="1070"/>
      <c r="R77" s="546" t="s">
        <v>26</v>
      </c>
      <c r="S77" s="547" t="s">
        <v>26</v>
      </c>
      <c r="T77" s="547" t="s">
        <v>26</v>
      </c>
      <c r="U77" s="44"/>
      <c r="V77" s="1145">
        <v>150</v>
      </c>
      <c r="W77" s="981" t="s">
        <v>112</v>
      </c>
      <c r="Y77" s="418">
        <v>0.98</v>
      </c>
      <c r="Z77" s="955">
        <f>($Y77*E77)+AN77</f>
        <v>1300</v>
      </c>
      <c r="AA77" s="955">
        <f>($Y77*F77)+(0.02*F77)</f>
        <v>1252</v>
      </c>
      <c r="AB77" s="418">
        <v>0.48</v>
      </c>
      <c r="AC77" s="38">
        <v>0</v>
      </c>
      <c r="AD77" s="38">
        <v>0</v>
      </c>
      <c r="AE77" s="527">
        <v>0.5</v>
      </c>
      <c r="AF77" s="79">
        <v>0</v>
      </c>
      <c r="AG77" s="79">
        <f>(0.1*14*1000)*AE77</f>
        <v>700.00000000000011</v>
      </c>
      <c r="AH77" s="519"/>
      <c r="AI77" s="520"/>
      <c r="AJ77" s="393">
        <f>Z77+AC77+AF77</f>
        <v>1300</v>
      </c>
      <c r="AK77" s="410">
        <f>AA77+AD77+AG77</f>
        <v>1952</v>
      </c>
      <c r="AL77" s="394" t="s">
        <v>26</v>
      </c>
      <c r="AM77" s="394" t="s">
        <v>26</v>
      </c>
      <c r="AN77" s="79">
        <f t="shared" si="7"/>
        <v>26</v>
      </c>
      <c r="AO77" s="42"/>
      <c r="AP77" s="42"/>
      <c r="AQ77" s="43"/>
      <c r="AR77" s="42"/>
      <c r="AS77" s="341"/>
      <c r="AT77" s="469"/>
      <c r="AU77" s="341"/>
    </row>
    <row r="78" spans="1:47" x14ac:dyDescent="0.3">
      <c r="A78" s="1142"/>
      <c r="B78" s="541">
        <v>64</v>
      </c>
      <c r="C78" s="542">
        <v>8.17</v>
      </c>
      <c r="D78" s="544">
        <v>19.13</v>
      </c>
      <c r="E78" s="543">
        <v>615</v>
      </c>
      <c r="F78" s="547" t="s">
        <v>26</v>
      </c>
      <c r="G78" s="548">
        <f>25.1*5</f>
        <v>125.5</v>
      </c>
      <c r="H78" s="546" t="s">
        <v>26</v>
      </c>
      <c r="I78" s="547" t="s">
        <v>26</v>
      </c>
      <c r="J78" s="547" t="s">
        <v>26</v>
      </c>
      <c r="K78" s="548" t="s">
        <v>26</v>
      </c>
      <c r="L78" s="546" t="s">
        <v>26</v>
      </c>
      <c r="M78" s="547" t="s">
        <v>26</v>
      </c>
      <c r="N78" s="548" t="s">
        <v>26</v>
      </c>
      <c r="O78" s="1065"/>
      <c r="P78" s="549"/>
      <c r="Q78" s="1071"/>
      <c r="R78" s="546" t="s">
        <v>26</v>
      </c>
      <c r="S78" s="547" t="s">
        <v>26</v>
      </c>
      <c r="T78" s="547" t="s">
        <v>26</v>
      </c>
      <c r="U78" s="242"/>
      <c r="V78" s="1145"/>
      <c r="W78" s="953" t="s">
        <v>195</v>
      </c>
      <c r="Y78" s="418">
        <f>Y77-0.02</f>
        <v>0.96</v>
      </c>
      <c r="Z78" s="955">
        <f>($Y78*E78)+SUM(AN77:AN78)</f>
        <v>628.69999999999993</v>
      </c>
      <c r="AA78" s="955" t="s">
        <v>26</v>
      </c>
      <c r="AB78" s="418" t="s">
        <v>26</v>
      </c>
      <c r="AC78" s="38" t="s">
        <v>26</v>
      </c>
      <c r="AD78" s="38" t="s">
        <v>26</v>
      </c>
      <c r="AE78" s="527">
        <v>0.5</v>
      </c>
      <c r="AF78" s="79" t="s">
        <v>26</v>
      </c>
      <c r="AG78" s="79" t="s">
        <v>26</v>
      </c>
      <c r="AH78" s="519"/>
      <c r="AI78" s="520"/>
      <c r="AJ78" s="393" t="s">
        <v>26</v>
      </c>
      <c r="AK78" s="410" t="s">
        <v>26</v>
      </c>
      <c r="AL78" s="394" t="s">
        <v>26</v>
      </c>
      <c r="AM78" s="394" t="s">
        <v>26</v>
      </c>
      <c r="AN78" s="325">
        <f t="shared" si="7"/>
        <v>12.3</v>
      </c>
      <c r="AO78" s="42"/>
      <c r="AP78" s="42"/>
      <c r="AQ78" s="43"/>
      <c r="AR78" s="42"/>
      <c r="AS78" s="341"/>
      <c r="AT78" s="469"/>
      <c r="AU78" s="341"/>
    </row>
    <row r="79" spans="1:47" x14ac:dyDescent="0.3">
      <c r="A79" s="1142"/>
      <c r="B79" s="541">
        <v>89</v>
      </c>
      <c r="C79" s="542">
        <v>7.99</v>
      </c>
      <c r="D79" s="543">
        <v>21.36</v>
      </c>
      <c r="E79" s="543">
        <v>485</v>
      </c>
      <c r="F79" s="547" t="s">
        <v>26</v>
      </c>
      <c r="G79" s="548">
        <f>494*5</f>
        <v>2470</v>
      </c>
      <c r="H79" s="546" t="s">
        <v>26</v>
      </c>
      <c r="I79" s="547" t="s">
        <v>26</v>
      </c>
      <c r="J79" s="547" t="s">
        <v>26</v>
      </c>
      <c r="K79" s="548" t="s">
        <v>26</v>
      </c>
      <c r="L79" s="546" t="s">
        <v>26</v>
      </c>
      <c r="M79" s="547" t="s">
        <v>26</v>
      </c>
      <c r="N79" s="548" t="s">
        <v>26</v>
      </c>
      <c r="O79" s="1065"/>
      <c r="P79" s="549"/>
      <c r="Q79" s="1071"/>
      <c r="R79" s="546" t="s">
        <v>26</v>
      </c>
      <c r="S79" s="547" t="s">
        <v>26</v>
      </c>
      <c r="T79" s="547" t="s">
        <v>26</v>
      </c>
      <c r="U79" s="242"/>
      <c r="V79" s="1145"/>
      <c r="W79" s="954" t="s">
        <v>112</v>
      </c>
      <c r="Y79" s="418">
        <f>Y78-0.02</f>
        <v>0.94</v>
      </c>
      <c r="Z79" s="955">
        <f>($Y79*E79)+SUM(AN77:AN79)</f>
        <v>503.9</v>
      </c>
      <c r="AA79" s="955" t="s">
        <v>26</v>
      </c>
      <c r="AB79" s="418" t="s">
        <v>26</v>
      </c>
      <c r="AC79" s="38" t="s">
        <v>26</v>
      </c>
      <c r="AD79" s="38" t="s">
        <v>26</v>
      </c>
      <c r="AE79" s="527">
        <v>0.5</v>
      </c>
      <c r="AF79" s="79" t="s">
        <v>26</v>
      </c>
      <c r="AG79" s="79" t="s">
        <v>26</v>
      </c>
      <c r="AH79" s="519"/>
      <c r="AI79" s="520"/>
      <c r="AJ79" s="393" t="s">
        <v>26</v>
      </c>
      <c r="AK79" s="410" t="s">
        <v>26</v>
      </c>
      <c r="AL79" s="394" t="s">
        <v>26</v>
      </c>
      <c r="AM79" s="394" t="s">
        <v>26</v>
      </c>
      <c r="AN79" s="325">
        <f t="shared" si="7"/>
        <v>9.7000000000000011</v>
      </c>
      <c r="AO79" s="42"/>
      <c r="AP79" s="42"/>
      <c r="AQ79" s="43"/>
      <c r="AR79" s="42"/>
      <c r="AS79" s="341"/>
      <c r="AT79" s="469"/>
      <c r="AU79" s="341"/>
    </row>
    <row r="80" spans="1:47" s="311" customFormat="1" ht="15" thickBot="1" x14ac:dyDescent="0.35">
      <c r="A80" s="1143"/>
      <c r="B80" s="577">
        <v>134</v>
      </c>
      <c r="C80" s="578">
        <v>8.2100000000000009</v>
      </c>
      <c r="D80" s="579">
        <v>18.920000000000002</v>
      </c>
      <c r="E80" s="580">
        <v>386</v>
      </c>
      <c r="F80" s="580">
        <v>470.5</v>
      </c>
      <c r="G80" s="581">
        <f>29.6*5</f>
        <v>148</v>
      </c>
      <c r="H80" s="578">
        <v>9.76</v>
      </c>
      <c r="I80" s="580">
        <v>27.6</v>
      </c>
      <c r="J80" s="580">
        <v>474</v>
      </c>
      <c r="K80" s="577">
        <v>530</v>
      </c>
      <c r="L80" s="578">
        <v>24.1</v>
      </c>
      <c r="M80" s="580">
        <v>911</v>
      </c>
      <c r="N80" s="577">
        <v>1280</v>
      </c>
      <c r="O80" s="1066"/>
      <c r="P80" s="582"/>
      <c r="Q80" s="1072"/>
      <c r="R80" s="1068" t="s">
        <v>26</v>
      </c>
      <c r="S80" s="583" t="s">
        <v>26</v>
      </c>
      <c r="T80" s="583">
        <v>0.2</v>
      </c>
      <c r="U80" s="584">
        <v>16</v>
      </c>
      <c r="V80" s="1146"/>
      <c r="W80" s="585" t="s">
        <v>86</v>
      </c>
      <c r="X80" s="814"/>
      <c r="Y80" s="417">
        <f>Y79</f>
        <v>0.94</v>
      </c>
      <c r="Z80" s="957">
        <f>($Y80*E80)+SUM(AN77:AN79)</f>
        <v>410.84</v>
      </c>
      <c r="AA80" s="956">
        <f>($Y80*F80)+(0.02*F77)</f>
        <v>467.31</v>
      </c>
      <c r="AB80" s="417">
        <v>0.48</v>
      </c>
      <c r="AC80" s="307">
        <f>$AB80*J80</f>
        <v>227.51999999999998</v>
      </c>
      <c r="AD80" s="307">
        <f>$AB80*K80</f>
        <v>254.39999999999998</v>
      </c>
      <c r="AE80" s="587">
        <v>0.5</v>
      </c>
      <c r="AF80" s="483">
        <f>$AE80*M80</f>
        <v>455.5</v>
      </c>
      <c r="AG80" s="483">
        <f>$AE80*N80</f>
        <v>640</v>
      </c>
      <c r="AH80" s="588"/>
      <c r="AI80" s="589"/>
      <c r="AJ80" s="412">
        <f t="shared" ref="AJ80" si="10">Z80+AC80+AF80</f>
        <v>1093.8599999999999</v>
      </c>
      <c r="AK80" s="313">
        <f>AA80+AD80+AG80</f>
        <v>1361.71</v>
      </c>
      <c r="AL80" s="388">
        <f>AJ80-AJ77</f>
        <v>-206.1400000000001</v>
      </c>
      <c r="AM80" s="388">
        <f>AK80-AK77</f>
        <v>-590.29</v>
      </c>
      <c r="AN80" s="388" t="s">
        <v>26</v>
      </c>
      <c r="AO80" s="388">
        <f>(AF80)*10/(100*(B80/24))</f>
        <v>8.1582089552238823</v>
      </c>
      <c r="AP80" s="389">
        <f>AF80/Z77</f>
        <v>0.35038461538461541</v>
      </c>
      <c r="AQ80" s="432">
        <f>(Z77-Z80)*10/100/(B80/24)</f>
        <v>15.925253731343284</v>
      </c>
      <c r="AR80" s="389">
        <f>(Z77-Z80)/Z77</f>
        <v>0.68396923076923088</v>
      </c>
      <c r="AS80" s="862">
        <f>((AC80+AF80)-AC77)/Z77</f>
        <v>0.52539999999999998</v>
      </c>
      <c r="AT80" s="472">
        <f>AU80/10</f>
        <v>4.275223880597015E-2</v>
      </c>
      <c r="AU80" s="920">
        <f>((G77+T1/3)-G80)/(1000*(B80/24))</f>
        <v>0.4275223880597015</v>
      </c>
    </row>
    <row r="81" spans="1:47" ht="15" thickTop="1" x14ac:dyDescent="0.3">
      <c r="A81" s="1141">
        <v>20</v>
      </c>
      <c r="B81" s="541">
        <v>0</v>
      </c>
      <c r="C81" s="576">
        <v>8.2100000000000009</v>
      </c>
      <c r="D81" s="543">
        <v>20.3</v>
      </c>
      <c r="E81" s="543">
        <f>40.3*25</f>
        <v>1007.4999999999999</v>
      </c>
      <c r="F81" s="543">
        <f>39.9*25</f>
        <v>997.5</v>
      </c>
      <c r="G81" s="545">
        <f>506*5</f>
        <v>2530</v>
      </c>
      <c r="H81" s="546" t="s">
        <v>26</v>
      </c>
      <c r="I81" s="547" t="s">
        <v>26</v>
      </c>
      <c r="J81" s="547" t="s">
        <v>26</v>
      </c>
      <c r="K81" s="545" t="s">
        <v>26</v>
      </c>
      <c r="L81" s="546" t="s">
        <v>26</v>
      </c>
      <c r="M81" s="547" t="s">
        <v>26</v>
      </c>
      <c r="N81" s="548" t="s">
        <v>26</v>
      </c>
      <c r="O81" s="546" t="s">
        <v>26</v>
      </c>
      <c r="P81" s="547" t="s">
        <v>26</v>
      </c>
      <c r="Q81" s="548" t="s">
        <v>26</v>
      </c>
      <c r="R81" s="546" t="s">
        <v>26</v>
      </c>
      <c r="S81" s="547" t="s">
        <v>26</v>
      </c>
      <c r="T81" s="547" t="s">
        <v>26</v>
      </c>
      <c r="U81" s="169"/>
      <c r="V81" s="1144">
        <v>150</v>
      </c>
      <c r="W81" s="563" t="s">
        <v>195</v>
      </c>
      <c r="Y81" s="418">
        <v>0.98</v>
      </c>
      <c r="Z81" s="955">
        <f>($Y81*E81)+AN81</f>
        <v>1007.4999999999999</v>
      </c>
      <c r="AA81" s="955">
        <f>($Y81*F81)+(0.02*F81)</f>
        <v>997.5</v>
      </c>
      <c r="AB81" s="418">
        <v>0.48</v>
      </c>
      <c r="AC81" s="38">
        <v>0</v>
      </c>
      <c r="AD81" s="38">
        <v>0</v>
      </c>
      <c r="AE81" s="527">
        <v>0.5</v>
      </c>
      <c r="AF81" s="79">
        <v>0</v>
      </c>
      <c r="AG81" s="79">
        <f>(0.1*14*1000)*AE81</f>
        <v>700.00000000000011</v>
      </c>
      <c r="AH81" s="79">
        <v>0</v>
      </c>
      <c r="AI81" s="79">
        <f>(0.1*14*1000)*AE81</f>
        <v>700.00000000000011</v>
      </c>
      <c r="AJ81" s="393">
        <f>Z81+AC81+AF81+AH81</f>
        <v>1007.4999999999999</v>
      </c>
      <c r="AK81" s="410">
        <f>AA81+AD81+AG81+AI81</f>
        <v>2397.5</v>
      </c>
      <c r="AL81" s="394" t="s">
        <v>26</v>
      </c>
      <c r="AM81" s="394" t="s">
        <v>26</v>
      </c>
      <c r="AN81" s="325">
        <f t="shared" ref="AN81:AN83" si="11">0.02*E81</f>
        <v>20.149999999999999</v>
      </c>
      <c r="AO81" s="42"/>
      <c r="AP81" s="42"/>
      <c r="AQ81" s="43"/>
      <c r="AR81" s="42"/>
      <c r="AS81" s="341"/>
      <c r="AT81" s="469"/>
      <c r="AU81" s="341"/>
    </row>
    <row r="82" spans="1:47" x14ac:dyDescent="0.3">
      <c r="A82" s="1142"/>
      <c r="B82" s="541">
        <v>68</v>
      </c>
      <c r="C82" s="576">
        <v>8.34</v>
      </c>
      <c r="D82" s="544">
        <v>18.37</v>
      </c>
      <c r="E82" s="543">
        <v>887</v>
      </c>
      <c r="F82" s="547" t="s">
        <v>26</v>
      </c>
      <c r="G82" s="548">
        <f>128*5</f>
        <v>640</v>
      </c>
      <c r="H82" s="546" t="s">
        <v>26</v>
      </c>
      <c r="I82" s="547" t="s">
        <v>26</v>
      </c>
      <c r="J82" s="547" t="s">
        <v>26</v>
      </c>
      <c r="K82" s="548" t="s">
        <v>26</v>
      </c>
      <c r="L82" s="546" t="s">
        <v>26</v>
      </c>
      <c r="M82" s="547" t="s">
        <v>26</v>
      </c>
      <c r="N82" s="548" t="s">
        <v>26</v>
      </c>
      <c r="O82" s="546" t="s">
        <v>26</v>
      </c>
      <c r="P82" s="547" t="s">
        <v>26</v>
      </c>
      <c r="Q82" s="548" t="s">
        <v>26</v>
      </c>
      <c r="R82" s="546" t="s">
        <v>26</v>
      </c>
      <c r="S82" s="547" t="s">
        <v>26</v>
      </c>
      <c r="T82" s="547" t="s">
        <v>26</v>
      </c>
      <c r="U82" s="242"/>
      <c r="V82" s="1145"/>
      <c r="W82" s="563" t="s">
        <v>196</v>
      </c>
      <c r="Y82" s="418">
        <f>Y81-0.02</f>
        <v>0.96</v>
      </c>
      <c r="Z82" s="955">
        <f>($Y82*E82)+SUM(AN81:AN82)</f>
        <v>889.41</v>
      </c>
      <c r="AA82" s="955" t="s">
        <v>26</v>
      </c>
      <c r="AB82" s="418" t="s">
        <v>26</v>
      </c>
      <c r="AC82" s="38" t="s">
        <v>26</v>
      </c>
      <c r="AD82" s="38" t="s">
        <v>26</v>
      </c>
      <c r="AE82" s="527">
        <v>0.5</v>
      </c>
      <c r="AF82" s="79" t="s">
        <v>26</v>
      </c>
      <c r="AG82" s="79" t="s">
        <v>26</v>
      </c>
      <c r="AH82" s="79" t="s">
        <v>26</v>
      </c>
      <c r="AI82" s="79" t="s">
        <v>26</v>
      </c>
      <c r="AJ82" s="393" t="s">
        <v>26</v>
      </c>
      <c r="AK82" s="410" t="s">
        <v>26</v>
      </c>
      <c r="AL82" s="394" t="s">
        <v>26</v>
      </c>
      <c r="AM82" s="394" t="s">
        <v>26</v>
      </c>
      <c r="AN82" s="325">
        <f t="shared" si="11"/>
        <v>17.740000000000002</v>
      </c>
      <c r="AO82" s="42"/>
      <c r="AP82" s="42"/>
      <c r="AQ82" s="43"/>
      <c r="AR82" s="42"/>
      <c r="AS82" s="341"/>
      <c r="AT82" s="469"/>
      <c r="AU82" s="341"/>
    </row>
    <row r="83" spans="1:47" x14ac:dyDescent="0.3">
      <c r="A83" s="1142"/>
      <c r="B83" s="541">
        <v>95</v>
      </c>
      <c r="C83" s="576">
        <v>8.0299999999999994</v>
      </c>
      <c r="D83" s="543">
        <v>19.5</v>
      </c>
      <c r="E83" s="543">
        <v>619</v>
      </c>
      <c r="F83" s="547" t="s">
        <v>26</v>
      </c>
      <c r="G83" s="548">
        <f>311*5</f>
        <v>1555</v>
      </c>
      <c r="H83" s="546" t="s">
        <v>26</v>
      </c>
      <c r="I83" s="547" t="s">
        <v>26</v>
      </c>
      <c r="J83" s="547" t="s">
        <v>26</v>
      </c>
      <c r="K83" s="548" t="s">
        <v>26</v>
      </c>
      <c r="L83" s="546" t="s">
        <v>26</v>
      </c>
      <c r="M83" s="547" t="s">
        <v>26</v>
      </c>
      <c r="N83" s="548" t="s">
        <v>26</v>
      </c>
      <c r="O83" s="546" t="s">
        <v>26</v>
      </c>
      <c r="P83" s="547" t="s">
        <v>26</v>
      </c>
      <c r="Q83" s="548" t="s">
        <v>26</v>
      </c>
      <c r="R83" s="546" t="s">
        <v>26</v>
      </c>
      <c r="S83" s="547" t="s">
        <v>26</v>
      </c>
      <c r="T83" s="547" t="s">
        <v>26</v>
      </c>
      <c r="U83" s="242"/>
      <c r="V83" s="1145"/>
      <c r="W83" s="563" t="s">
        <v>197</v>
      </c>
      <c r="Y83" s="418">
        <f>Y82-0.02</f>
        <v>0.94</v>
      </c>
      <c r="Z83" s="955">
        <f>($Y83*E83)+SUM(AN81:AN83)</f>
        <v>632.13</v>
      </c>
      <c r="AA83" s="955" t="s">
        <v>26</v>
      </c>
      <c r="AB83" s="418" t="s">
        <v>26</v>
      </c>
      <c r="AC83" s="38" t="s">
        <v>26</v>
      </c>
      <c r="AD83" s="38" t="s">
        <v>26</v>
      </c>
      <c r="AE83" s="527">
        <v>0.5</v>
      </c>
      <c r="AF83" s="79" t="s">
        <v>26</v>
      </c>
      <c r="AG83" s="79" t="s">
        <v>26</v>
      </c>
      <c r="AH83" s="79" t="s">
        <v>26</v>
      </c>
      <c r="AI83" s="79" t="s">
        <v>26</v>
      </c>
      <c r="AJ83" s="393" t="s">
        <v>26</v>
      </c>
      <c r="AK83" s="410" t="s">
        <v>26</v>
      </c>
      <c r="AL83" s="394" t="s">
        <v>26</v>
      </c>
      <c r="AM83" s="394" t="s">
        <v>26</v>
      </c>
      <c r="AN83" s="325">
        <f t="shared" si="11"/>
        <v>12.38</v>
      </c>
      <c r="AO83" s="42"/>
      <c r="AP83" s="42"/>
      <c r="AQ83" s="43"/>
      <c r="AR83" s="42"/>
      <c r="AS83" s="341"/>
      <c r="AT83" s="469"/>
      <c r="AU83" s="341"/>
    </row>
    <row r="84" spans="1:47" s="311" customFormat="1" ht="15" thickBot="1" x14ac:dyDescent="0.35">
      <c r="A84" s="1143"/>
      <c r="B84" s="577">
        <v>119.5</v>
      </c>
      <c r="C84" s="578">
        <v>8.19</v>
      </c>
      <c r="D84" s="579">
        <v>19.88</v>
      </c>
      <c r="E84" s="580">
        <v>490</v>
      </c>
      <c r="F84" s="580">
        <f>25.8*20</f>
        <v>516</v>
      </c>
      <c r="G84" s="581">
        <f>264*5</f>
        <v>1320</v>
      </c>
      <c r="H84" s="578">
        <v>11.7</v>
      </c>
      <c r="I84" s="580">
        <v>25.7</v>
      </c>
      <c r="J84" s="580">
        <v>1140</v>
      </c>
      <c r="K84" s="577">
        <f>55.3*20</f>
        <v>1106</v>
      </c>
      <c r="L84" s="578">
        <v>25.9</v>
      </c>
      <c r="M84" s="580">
        <f>26.6*25</f>
        <v>665</v>
      </c>
      <c r="N84" s="577">
        <f>81.5*25</f>
        <v>2037.5</v>
      </c>
      <c r="O84" s="578">
        <v>39.200000000000003</v>
      </c>
      <c r="P84" s="580">
        <v>0</v>
      </c>
      <c r="Q84" s="577">
        <f>58.7*25</f>
        <v>1467.5</v>
      </c>
      <c r="R84" s="1068" t="s">
        <v>26</v>
      </c>
      <c r="S84" s="583" t="s">
        <v>26</v>
      </c>
      <c r="T84" s="583">
        <v>0.2</v>
      </c>
      <c r="U84" s="584">
        <v>19.878</v>
      </c>
      <c r="V84" s="1146"/>
      <c r="W84" s="590" t="s">
        <v>86</v>
      </c>
      <c r="X84" s="814"/>
      <c r="Y84" s="417">
        <f>Y83</f>
        <v>0.94</v>
      </c>
      <c r="Z84" s="956">
        <f>($Y84*E84)+SUM(AN81:AN83)</f>
        <v>510.86999999999995</v>
      </c>
      <c r="AA84" s="956">
        <f>($Y84*F84)+(0.02*F81)</f>
        <v>504.98999999999995</v>
      </c>
      <c r="AB84" s="417">
        <v>0.48</v>
      </c>
      <c r="AC84" s="307">
        <f>$AB84*J84</f>
        <v>547.19999999999993</v>
      </c>
      <c r="AD84" s="307">
        <f>$AB84*K84</f>
        <v>530.88</v>
      </c>
      <c r="AE84" s="587">
        <v>0.5</v>
      </c>
      <c r="AF84" s="483">
        <f>$AE84*M84</f>
        <v>332.5</v>
      </c>
      <c r="AG84" s="483">
        <f>$AE84*N84</f>
        <v>1018.75</v>
      </c>
      <c r="AH84" s="483">
        <f>$AE84*P84</f>
        <v>0</v>
      </c>
      <c r="AI84" s="483">
        <f>$AE84*Q84</f>
        <v>733.75</v>
      </c>
      <c r="AJ84" s="412">
        <f>Z84+AC84+AF84+AH84</f>
        <v>1390.57</v>
      </c>
      <c r="AK84" s="997">
        <f>AA84+AD84+AG84+AI84</f>
        <v>2788.37</v>
      </c>
      <c r="AL84" s="388">
        <f>AJ84-AJ81</f>
        <v>383.07000000000005</v>
      </c>
      <c r="AM84" s="388">
        <f>AK84-AK81</f>
        <v>390.86999999999989</v>
      </c>
      <c r="AN84" s="388" t="s">
        <v>26</v>
      </c>
      <c r="AO84" s="388">
        <f>(AF84)*10/(100*(B84/24))</f>
        <v>6.6778242677824267</v>
      </c>
      <c r="AP84" s="389">
        <f>AF84/Z81</f>
        <v>0.3300248138957817</v>
      </c>
      <c r="AQ84" s="432">
        <f>(Z81-Z84)*10/100/(B84/24)</f>
        <v>9.9741589958158965</v>
      </c>
      <c r="AR84" s="1056">
        <f>(Z81-Z84)</f>
        <v>496.62999999999994</v>
      </c>
      <c r="AS84" s="862">
        <f>((AC84+AF84)-AC81)/Z81</f>
        <v>0.87315136476426802</v>
      </c>
      <c r="AT84" s="472">
        <f>AU84/10</f>
        <v>0.11568200836820083</v>
      </c>
      <c r="AU84" s="920">
        <f>((G81+1750/2.5*(6.5))-G84)/(1000*(B84/24))</f>
        <v>1.1568200836820084</v>
      </c>
    </row>
    <row r="85" spans="1:47" ht="15" thickTop="1" x14ac:dyDescent="0.3">
      <c r="A85" s="1141">
        <v>21</v>
      </c>
      <c r="B85" s="541">
        <v>0</v>
      </c>
      <c r="C85" s="593">
        <v>7.45</v>
      </c>
      <c r="D85" s="543">
        <v>19.37</v>
      </c>
      <c r="E85" s="543">
        <f>41.2*25</f>
        <v>1030</v>
      </c>
      <c r="F85" s="543">
        <f>39.8*25</f>
        <v>994.99999999999989</v>
      </c>
      <c r="G85" s="545">
        <f>357*5</f>
        <v>1785</v>
      </c>
      <c r="H85" s="546">
        <v>11.84</v>
      </c>
      <c r="I85" s="547">
        <v>36.299999999999997</v>
      </c>
      <c r="J85" s="547">
        <v>0</v>
      </c>
      <c r="K85" s="545">
        <v>0</v>
      </c>
      <c r="L85" s="546" t="s">
        <v>26</v>
      </c>
      <c r="M85" s="547" t="s">
        <v>26</v>
      </c>
      <c r="N85" s="548" t="s">
        <v>26</v>
      </c>
      <c r="O85" s="546" t="s">
        <v>26</v>
      </c>
      <c r="P85" s="547" t="s">
        <v>26</v>
      </c>
      <c r="Q85" s="548" t="s">
        <v>26</v>
      </c>
      <c r="R85" s="546" t="s">
        <v>26</v>
      </c>
      <c r="S85" s="547" t="s">
        <v>26</v>
      </c>
      <c r="T85" s="547" t="s">
        <v>26</v>
      </c>
      <c r="U85" s="169"/>
      <c r="V85" s="1144">
        <v>150</v>
      </c>
      <c r="W85" s="563" t="s">
        <v>112</v>
      </c>
      <c r="Y85" s="418">
        <v>0.98</v>
      </c>
      <c r="Z85" s="566">
        <f>($Y85*E85)+AN85</f>
        <v>1030</v>
      </c>
      <c r="AA85" s="38">
        <f>($Y85*F85)+(0.02*F85)</f>
        <v>994.99999999999989</v>
      </c>
      <c r="AB85" s="418">
        <v>0.48</v>
      </c>
      <c r="AC85" s="38">
        <f>(AB85*J85)+(0.02*J85)</f>
        <v>0</v>
      </c>
      <c r="AD85" s="38">
        <f>AB85*K85</f>
        <v>0</v>
      </c>
      <c r="AE85" s="527">
        <v>0.5</v>
      </c>
      <c r="AF85" s="79">
        <v>0</v>
      </c>
      <c r="AG85" s="79">
        <f>(0.1*14*1000)*AE85</f>
        <v>700.00000000000011</v>
      </c>
      <c r="AH85" s="79">
        <v>0</v>
      </c>
      <c r="AI85" s="79">
        <f>(0.1*14*1000)*AE85</f>
        <v>700.00000000000011</v>
      </c>
      <c r="AJ85" s="393">
        <f>Z85+AC85+AF85+AH85</f>
        <v>1030</v>
      </c>
      <c r="AK85" s="410">
        <f>AA85+AD85+AG85+AI85</f>
        <v>2395</v>
      </c>
      <c r="AL85" s="394" t="s">
        <v>26</v>
      </c>
      <c r="AM85" s="394" t="s">
        <v>26</v>
      </c>
      <c r="AN85" s="325">
        <f t="shared" ref="AN85:AN87" si="12">0.02*E85</f>
        <v>20.6</v>
      </c>
      <c r="AO85" s="42"/>
      <c r="AP85" s="42"/>
      <c r="AQ85" s="43"/>
      <c r="AR85" s="42"/>
      <c r="AS85" s="341"/>
      <c r="AT85" s="469"/>
      <c r="AU85" s="341"/>
    </row>
    <row r="86" spans="1:47" x14ac:dyDescent="0.3">
      <c r="A86" s="1142"/>
      <c r="B86" s="541">
        <v>20</v>
      </c>
      <c r="C86" s="593">
        <v>7.89</v>
      </c>
      <c r="D86" s="544">
        <v>19.399999999999999</v>
      </c>
      <c r="E86" s="543">
        <f>28.4*25</f>
        <v>710</v>
      </c>
      <c r="F86" s="547" t="s">
        <v>26</v>
      </c>
      <c r="G86" s="548">
        <f>307*5</f>
        <v>1535</v>
      </c>
      <c r="H86" s="546" t="s">
        <v>26</v>
      </c>
      <c r="I86" s="547" t="s">
        <v>26</v>
      </c>
      <c r="J86" s="547" t="s">
        <v>26</v>
      </c>
      <c r="K86" s="548" t="s">
        <v>26</v>
      </c>
      <c r="L86" s="546" t="s">
        <v>26</v>
      </c>
      <c r="M86" s="547" t="s">
        <v>26</v>
      </c>
      <c r="N86" s="548" t="s">
        <v>26</v>
      </c>
      <c r="O86" s="546" t="s">
        <v>26</v>
      </c>
      <c r="P86" s="547" t="s">
        <v>26</v>
      </c>
      <c r="Q86" s="548" t="s">
        <v>26</v>
      </c>
      <c r="R86" s="546" t="s">
        <v>26</v>
      </c>
      <c r="S86" s="547" t="s">
        <v>26</v>
      </c>
      <c r="T86" s="547" t="s">
        <v>26</v>
      </c>
      <c r="U86" s="242"/>
      <c r="V86" s="1145"/>
      <c r="W86" s="563" t="s">
        <v>112</v>
      </c>
      <c r="Y86" s="418">
        <f>Y85-0.02</f>
        <v>0.96</v>
      </c>
      <c r="Z86" s="566">
        <f>($Y86*E86)+SUM($AN$85:AN86)</f>
        <v>716.4</v>
      </c>
      <c r="AA86" s="38" t="s">
        <v>26</v>
      </c>
      <c r="AB86" s="418" t="s">
        <v>26</v>
      </c>
      <c r="AC86" s="38" t="s">
        <v>26</v>
      </c>
      <c r="AD86" s="38" t="s">
        <v>26</v>
      </c>
      <c r="AE86" s="527">
        <v>0.5</v>
      </c>
      <c r="AF86" s="79" t="s">
        <v>26</v>
      </c>
      <c r="AG86" s="79" t="s">
        <v>26</v>
      </c>
      <c r="AH86" s="79" t="s">
        <v>26</v>
      </c>
      <c r="AI86" s="79" t="s">
        <v>26</v>
      </c>
      <c r="AJ86" s="393" t="s">
        <v>26</v>
      </c>
      <c r="AK86" s="410" t="s">
        <v>26</v>
      </c>
      <c r="AL86" s="394" t="s">
        <v>26</v>
      </c>
      <c r="AM86" s="394" t="s">
        <v>26</v>
      </c>
      <c r="AN86" s="325">
        <f t="shared" si="12"/>
        <v>14.200000000000001</v>
      </c>
      <c r="AO86" s="42"/>
      <c r="AP86" s="42"/>
      <c r="AQ86" s="43"/>
      <c r="AR86" s="42"/>
      <c r="AS86" s="341"/>
      <c r="AT86" s="469"/>
      <c r="AU86" s="341"/>
    </row>
    <row r="87" spans="1:47" x14ac:dyDescent="0.3">
      <c r="A87" s="1142"/>
      <c r="B87" s="541">
        <v>51</v>
      </c>
      <c r="C87" s="593">
        <v>8.24</v>
      </c>
      <c r="D87" s="543">
        <v>17.62</v>
      </c>
      <c r="E87" s="543">
        <f>19.4*25</f>
        <v>484.99999999999994</v>
      </c>
      <c r="F87" s="547" t="s">
        <v>26</v>
      </c>
      <c r="G87" s="548">
        <f>29.5*5</f>
        <v>147.5</v>
      </c>
      <c r="H87" s="546" t="s">
        <v>26</v>
      </c>
      <c r="I87" s="547" t="s">
        <v>26</v>
      </c>
      <c r="J87" s="547" t="s">
        <v>26</v>
      </c>
      <c r="K87" s="548" t="s">
        <v>26</v>
      </c>
      <c r="L87" s="546" t="s">
        <v>26</v>
      </c>
      <c r="M87" s="547" t="s">
        <v>26</v>
      </c>
      <c r="N87" s="548" t="s">
        <v>26</v>
      </c>
      <c r="O87" s="546" t="s">
        <v>26</v>
      </c>
      <c r="P87" s="547" t="s">
        <v>26</v>
      </c>
      <c r="Q87" s="548" t="s">
        <v>26</v>
      </c>
      <c r="R87" s="546" t="s">
        <v>26</v>
      </c>
      <c r="S87" s="547" t="s">
        <v>26</v>
      </c>
      <c r="T87" s="547" t="s">
        <v>26</v>
      </c>
      <c r="U87" s="242"/>
      <c r="V87" s="1145"/>
      <c r="W87" s="563" t="s">
        <v>196</v>
      </c>
      <c r="Y87" s="418">
        <f>Y86-0.02</f>
        <v>0.94</v>
      </c>
      <c r="Z87" s="566">
        <f>($Y87*E87)+SUM($AN$85:AN87)</f>
        <v>500.39999999999992</v>
      </c>
      <c r="AA87" s="38" t="s">
        <v>26</v>
      </c>
      <c r="AB87" s="418" t="s">
        <v>26</v>
      </c>
      <c r="AC87" s="38" t="s">
        <v>26</v>
      </c>
      <c r="AD87" s="38" t="s">
        <v>26</v>
      </c>
      <c r="AE87" s="527">
        <v>0.5</v>
      </c>
      <c r="AF87" s="79" t="s">
        <v>26</v>
      </c>
      <c r="AG87" s="79" t="s">
        <v>26</v>
      </c>
      <c r="AH87" s="79" t="s">
        <v>26</v>
      </c>
      <c r="AI87" s="79" t="s">
        <v>26</v>
      </c>
      <c r="AJ87" s="393" t="s">
        <v>26</v>
      </c>
      <c r="AK87" s="410" t="s">
        <v>26</v>
      </c>
      <c r="AL87" s="394" t="s">
        <v>26</v>
      </c>
      <c r="AM87" s="394" t="s">
        <v>26</v>
      </c>
      <c r="AN87" s="325">
        <f t="shared" si="12"/>
        <v>9.6999999999999993</v>
      </c>
      <c r="AO87" s="42"/>
      <c r="AP87" s="42"/>
      <c r="AQ87" s="43"/>
      <c r="AR87" s="42"/>
      <c r="AS87" s="341"/>
      <c r="AT87" s="469"/>
      <c r="AU87" s="341"/>
    </row>
    <row r="88" spans="1:47" s="311" customFormat="1" ht="15" thickBot="1" x14ac:dyDescent="0.35">
      <c r="A88" s="1143"/>
      <c r="B88" s="577">
        <v>120</v>
      </c>
      <c r="C88" s="578">
        <v>8.31</v>
      </c>
      <c r="D88" s="579">
        <v>19.100000000000001</v>
      </c>
      <c r="E88" s="580">
        <f>35.7*10</f>
        <v>357</v>
      </c>
      <c r="F88" s="580">
        <f>37.8*10</f>
        <v>378</v>
      </c>
      <c r="G88" s="581">
        <f>47*5</f>
        <v>235</v>
      </c>
      <c r="H88" s="596">
        <v>9.59</v>
      </c>
      <c r="I88" s="595">
        <v>10.050000000000001</v>
      </c>
      <c r="J88" s="595">
        <f>3.64*50</f>
        <v>182</v>
      </c>
      <c r="K88" s="597">
        <f>6.53*50</f>
        <v>326.5</v>
      </c>
      <c r="L88" s="578">
        <v>28</v>
      </c>
      <c r="M88" s="580">
        <f>10.2*50</f>
        <v>509.99999999999994</v>
      </c>
      <c r="N88" s="577">
        <f>40.8*50</f>
        <v>2039.9999999999998</v>
      </c>
      <c r="O88" s="578">
        <v>38.200000000000003</v>
      </c>
      <c r="P88" s="580">
        <v>0</v>
      </c>
      <c r="Q88" s="577">
        <f>60.8*25</f>
        <v>1520</v>
      </c>
      <c r="R88" s="1068" t="s">
        <v>26</v>
      </c>
      <c r="S88" s="583" t="s">
        <v>26</v>
      </c>
      <c r="T88" s="583">
        <v>0.2</v>
      </c>
      <c r="U88" s="584">
        <v>13.91</v>
      </c>
      <c r="V88" s="1146"/>
      <c r="W88" s="590" t="s">
        <v>86</v>
      </c>
      <c r="X88" s="814"/>
      <c r="Y88" s="417">
        <f>Y87</f>
        <v>0.94</v>
      </c>
      <c r="Z88" s="963">
        <f>($Y88*E88)+SUM($AN$85:AN87)</f>
        <v>380.08</v>
      </c>
      <c r="AA88" s="307">
        <f>($Y88*F88)+(0.02*F85)</f>
        <v>375.21999999999997</v>
      </c>
      <c r="AB88" s="417">
        <v>0.48</v>
      </c>
      <c r="AC88" s="307">
        <f>($AB88*J88)+(0.02*J85)</f>
        <v>87.36</v>
      </c>
      <c r="AD88" s="307">
        <f>$AB88*K88</f>
        <v>156.72</v>
      </c>
      <c r="AE88" s="587">
        <v>0.5</v>
      </c>
      <c r="AF88" s="483">
        <f>$AE88*M88</f>
        <v>254.99999999999997</v>
      </c>
      <c r="AG88" s="483">
        <f>$AE88*N88</f>
        <v>1019.9999999999999</v>
      </c>
      <c r="AH88" s="483">
        <f>$AE88*P88</f>
        <v>0</v>
      </c>
      <c r="AI88" s="483">
        <f>$AE88*Q88</f>
        <v>760</v>
      </c>
      <c r="AJ88" s="412">
        <f>Z88+AC88+AF88+AH88</f>
        <v>722.43999999999994</v>
      </c>
      <c r="AK88" s="313">
        <f>AA88+AD88+AG88+AI88</f>
        <v>2311.9399999999996</v>
      </c>
      <c r="AL88" s="388">
        <f>AJ88-AJ85</f>
        <v>-307.56000000000006</v>
      </c>
      <c r="AM88" s="388">
        <f>AK88-AK85</f>
        <v>-83.0600000000004</v>
      </c>
      <c r="AN88" s="388" t="s">
        <v>26</v>
      </c>
      <c r="AO88" s="388">
        <f>(AF88)*10/(100*(B88/24))</f>
        <v>5.0999999999999988</v>
      </c>
      <c r="AP88" s="389">
        <f>AF88/Z85</f>
        <v>0.24757281553398056</v>
      </c>
      <c r="AQ88" s="432">
        <f>(Z85-Z88)*10/100/(B88/24)</f>
        <v>12.9984</v>
      </c>
      <c r="AR88" s="1058">
        <f>(Z85-Z88)</f>
        <v>649.92000000000007</v>
      </c>
      <c r="AS88" s="862">
        <f>((AC88+AF88)-AC85)/Z85</f>
        <v>0.33238834951456309</v>
      </c>
      <c r="AT88" s="472">
        <f>AU88/10</f>
        <v>7.2999999999999995E-2</v>
      </c>
      <c r="AU88" s="920">
        <f>((G85+T1)-G88)/(1000*(B88/24))</f>
        <v>0.73</v>
      </c>
    </row>
    <row r="89" spans="1:47" ht="15" thickTop="1" x14ac:dyDescent="0.3">
      <c r="A89" s="1141">
        <v>22</v>
      </c>
      <c r="B89" s="1026">
        <v>0</v>
      </c>
      <c r="C89" s="1002">
        <v>7.35</v>
      </c>
      <c r="D89" s="1027">
        <v>18.71</v>
      </c>
      <c r="E89" s="1027">
        <f>41.9*25</f>
        <v>1047.5</v>
      </c>
      <c r="F89" s="1027">
        <f>40.9*25</f>
        <v>1022.5</v>
      </c>
      <c r="G89" s="545">
        <f>351*5</f>
        <v>1755</v>
      </c>
      <c r="H89" s="1028">
        <v>11.65</v>
      </c>
      <c r="I89" s="1029">
        <v>25.4</v>
      </c>
      <c r="J89" s="1029">
        <v>0</v>
      </c>
      <c r="K89" s="545">
        <v>0.24399999999999999</v>
      </c>
      <c r="L89" s="1028" t="s">
        <v>26</v>
      </c>
      <c r="M89" s="1029" t="s">
        <v>26</v>
      </c>
      <c r="N89" s="545" t="s">
        <v>26</v>
      </c>
      <c r="O89" s="1028" t="s">
        <v>26</v>
      </c>
      <c r="P89" s="1029" t="s">
        <v>26</v>
      </c>
      <c r="Q89" s="545" t="s">
        <v>26</v>
      </c>
      <c r="R89" s="1028" t="s">
        <v>26</v>
      </c>
      <c r="S89" s="1029" t="s">
        <v>26</v>
      </c>
      <c r="T89" s="1029" t="s">
        <v>26</v>
      </c>
      <c r="U89" s="169"/>
      <c r="V89" s="1148">
        <v>150</v>
      </c>
      <c r="W89" s="1009" t="s">
        <v>112</v>
      </c>
      <c r="Y89" s="418">
        <v>0.98</v>
      </c>
      <c r="Z89" s="566">
        <f>($Y89*E89)+AN89</f>
        <v>1047.5</v>
      </c>
      <c r="AA89" s="38">
        <f>($Y89*F89)+(0.02*F89)</f>
        <v>1022.5</v>
      </c>
      <c r="AB89" s="418">
        <v>0.48</v>
      </c>
      <c r="AC89" s="38">
        <f>AB89*J89</f>
        <v>0</v>
      </c>
      <c r="AD89" s="38">
        <f>(AB89*K89)+(0.02*K89)</f>
        <v>0.12199999999999998</v>
      </c>
      <c r="AE89" s="527">
        <v>0.5</v>
      </c>
      <c r="AF89" s="79">
        <v>0</v>
      </c>
      <c r="AG89" s="79">
        <f>(0.1*14*1000)*AE89</f>
        <v>700.00000000000011</v>
      </c>
      <c r="AH89" s="79">
        <v>0</v>
      </c>
      <c r="AI89" s="79">
        <f>(0.1*14*1000)*AE89</f>
        <v>700.00000000000011</v>
      </c>
      <c r="AJ89" s="393">
        <f>Z89+AC89+AF89+AH89</f>
        <v>1047.5</v>
      </c>
      <c r="AK89" s="410">
        <f>AA89+AD89+AG89+AI89</f>
        <v>2422.6220000000003</v>
      </c>
      <c r="AL89" s="394" t="s">
        <v>26</v>
      </c>
      <c r="AM89" s="394" t="s">
        <v>26</v>
      </c>
      <c r="AN89" s="325">
        <f t="shared" ref="AN89:AN91" si="13">0.02*E89</f>
        <v>20.95</v>
      </c>
      <c r="AO89" s="42"/>
      <c r="AP89" s="42"/>
      <c r="AQ89" s="43"/>
      <c r="AR89" s="42"/>
      <c r="AS89" s="341"/>
      <c r="AT89" s="469"/>
      <c r="AU89" s="341"/>
    </row>
    <row r="90" spans="1:47" x14ac:dyDescent="0.3">
      <c r="A90" s="1142"/>
      <c r="B90" s="541">
        <v>20</v>
      </c>
      <c r="C90" s="1003">
        <v>7.88</v>
      </c>
      <c r="D90" s="544">
        <v>17.8</v>
      </c>
      <c r="E90" s="543">
        <f>24.5*25</f>
        <v>612.5</v>
      </c>
      <c r="F90" s="547" t="s">
        <v>26</v>
      </c>
      <c r="G90" s="548">
        <f>184*5</f>
        <v>920</v>
      </c>
      <c r="H90" s="546" t="s">
        <v>26</v>
      </c>
      <c r="I90" s="547" t="s">
        <v>26</v>
      </c>
      <c r="J90" s="547" t="s">
        <v>26</v>
      </c>
      <c r="K90" s="548" t="s">
        <v>26</v>
      </c>
      <c r="L90" s="546" t="s">
        <v>26</v>
      </c>
      <c r="M90" s="547" t="s">
        <v>26</v>
      </c>
      <c r="N90" s="548" t="s">
        <v>26</v>
      </c>
      <c r="O90" s="546" t="s">
        <v>26</v>
      </c>
      <c r="P90" s="547" t="s">
        <v>26</v>
      </c>
      <c r="Q90" s="548" t="s">
        <v>26</v>
      </c>
      <c r="R90" s="546" t="s">
        <v>26</v>
      </c>
      <c r="S90" s="547" t="s">
        <v>26</v>
      </c>
      <c r="T90" s="547" t="s">
        <v>26</v>
      </c>
      <c r="U90" s="242"/>
      <c r="V90" s="1145"/>
      <c r="W90" s="563" t="s">
        <v>198</v>
      </c>
      <c r="Y90" s="418">
        <f>Y89-0.02</f>
        <v>0.96</v>
      </c>
      <c r="Z90" s="566">
        <f>($Y90*E90)+SUM($AN$89:AN90)</f>
        <v>621.20000000000005</v>
      </c>
      <c r="AA90" s="38" t="s">
        <v>26</v>
      </c>
      <c r="AB90" s="418" t="s">
        <v>26</v>
      </c>
      <c r="AC90" s="38" t="s">
        <v>26</v>
      </c>
      <c r="AD90" s="38" t="s">
        <v>26</v>
      </c>
      <c r="AE90" s="527">
        <v>0.5</v>
      </c>
      <c r="AF90" s="79" t="s">
        <v>26</v>
      </c>
      <c r="AG90" s="79" t="s">
        <v>26</v>
      </c>
      <c r="AH90" s="79" t="s">
        <v>26</v>
      </c>
      <c r="AI90" s="79" t="s">
        <v>26</v>
      </c>
      <c r="AJ90" s="393" t="s">
        <v>26</v>
      </c>
      <c r="AK90" s="410" t="s">
        <v>26</v>
      </c>
      <c r="AL90" s="394" t="s">
        <v>26</v>
      </c>
      <c r="AM90" s="394" t="s">
        <v>26</v>
      </c>
      <c r="AN90" s="325">
        <f t="shared" si="13"/>
        <v>12.25</v>
      </c>
      <c r="AO90" s="42"/>
      <c r="AP90" s="42"/>
      <c r="AQ90" s="43"/>
      <c r="AR90" s="42"/>
      <c r="AS90" s="341"/>
      <c r="AT90" s="469"/>
      <c r="AU90" s="341"/>
    </row>
    <row r="91" spans="1:47" x14ac:dyDescent="0.3">
      <c r="A91" s="1142"/>
      <c r="B91" s="541">
        <v>92</v>
      </c>
      <c r="C91" s="1003">
        <v>8.2899999999999991</v>
      </c>
      <c r="D91" s="543">
        <v>17.73</v>
      </c>
      <c r="E91" s="543">
        <f>26.8*10</f>
        <v>268</v>
      </c>
      <c r="F91" s="547" t="s">
        <v>26</v>
      </c>
      <c r="G91" s="548">
        <f>17.9*10</f>
        <v>179</v>
      </c>
      <c r="H91" s="546" t="s">
        <v>26</v>
      </c>
      <c r="I91" s="547" t="s">
        <v>26</v>
      </c>
      <c r="J91" s="547" t="s">
        <v>26</v>
      </c>
      <c r="K91" s="548" t="s">
        <v>26</v>
      </c>
      <c r="L91" s="546" t="s">
        <v>26</v>
      </c>
      <c r="M91" s="547" t="s">
        <v>26</v>
      </c>
      <c r="N91" s="548" t="s">
        <v>26</v>
      </c>
      <c r="O91" s="546" t="s">
        <v>26</v>
      </c>
      <c r="P91" s="547" t="s">
        <v>26</v>
      </c>
      <c r="Q91" s="548" t="s">
        <v>26</v>
      </c>
      <c r="R91" s="546" t="s">
        <v>26</v>
      </c>
      <c r="S91" s="547" t="s">
        <v>26</v>
      </c>
      <c r="T91" s="547" t="s">
        <v>26</v>
      </c>
      <c r="U91" s="242"/>
      <c r="V91" s="1145"/>
      <c r="W91" s="563" t="s">
        <v>195</v>
      </c>
      <c r="Y91" s="418">
        <f>Y90-0.02</f>
        <v>0.94</v>
      </c>
      <c r="Z91" s="566">
        <f>($Y91*E91)+SUM($AN$89:AN91)</f>
        <v>290.48</v>
      </c>
      <c r="AA91" s="38" t="s">
        <v>26</v>
      </c>
      <c r="AB91" s="418" t="s">
        <v>26</v>
      </c>
      <c r="AC91" s="38" t="s">
        <v>26</v>
      </c>
      <c r="AD91" s="38" t="s">
        <v>26</v>
      </c>
      <c r="AE91" s="527">
        <v>0.5</v>
      </c>
      <c r="AF91" s="79" t="s">
        <v>26</v>
      </c>
      <c r="AG91" s="79" t="s">
        <v>26</v>
      </c>
      <c r="AH91" s="79" t="s">
        <v>26</v>
      </c>
      <c r="AI91" s="79" t="s">
        <v>26</v>
      </c>
      <c r="AJ91" s="393" t="s">
        <v>26</v>
      </c>
      <c r="AK91" s="410" t="s">
        <v>26</v>
      </c>
      <c r="AL91" s="394" t="s">
        <v>26</v>
      </c>
      <c r="AM91" s="394" t="s">
        <v>26</v>
      </c>
      <c r="AN91" s="325">
        <f t="shared" si="13"/>
        <v>5.36</v>
      </c>
      <c r="AO91" s="42"/>
      <c r="AP91" s="42"/>
      <c r="AQ91" s="43"/>
      <c r="AR91" s="42"/>
      <c r="AS91" s="341"/>
      <c r="AT91" s="469"/>
      <c r="AU91" s="341"/>
    </row>
    <row r="92" spans="1:47" ht="15" thickBot="1" x14ac:dyDescent="0.35">
      <c r="A92" s="1147"/>
      <c r="B92" s="1030">
        <v>120</v>
      </c>
      <c r="C92" s="1031">
        <v>8.19</v>
      </c>
      <c r="D92" s="1032">
        <v>17.760000000000002</v>
      </c>
      <c r="E92" s="1033">
        <f>21.9*10</f>
        <v>219</v>
      </c>
      <c r="F92" s="1033">
        <f>25.6*10</f>
        <v>256</v>
      </c>
      <c r="G92" s="1034">
        <f>31.4*10</f>
        <v>314</v>
      </c>
      <c r="H92" s="1035">
        <v>10.130000000000001</v>
      </c>
      <c r="I92" s="1032">
        <v>26.9</v>
      </c>
      <c r="J92" s="1032">
        <f>18.9*25</f>
        <v>472.49999999999994</v>
      </c>
      <c r="K92" s="1036">
        <f>20.7*25</f>
        <v>517.5</v>
      </c>
      <c r="L92" s="1031">
        <v>20.079999999999998</v>
      </c>
      <c r="M92" s="1033">
        <f>19.2*50</f>
        <v>960</v>
      </c>
      <c r="N92" s="1030">
        <f>48.5*50</f>
        <v>2425</v>
      </c>
      <c r="O92" s="1031">
        <v>38.4</v>
      </c>
      <c r="P92" s="1033">
        <v>0</v>
      </c>
      <c r="Q92" s="1030">
        <f>57.8*25</f>
        <v>1445</v>
      </c>
      <c r="R92" s="1069" t="s">
        <v>26</v>
      </c>
      <c r="S92" s="1037" t="s">
        <v>26</v>
      </c>
      <c r="T92" s="1037">
        <v>0.2</v>
      </c>
      <c r="U92" s="1038">
        <v>15.12</v>
      </c>
      <c r="V92" s="1149"/>
      <c r="W92" s="1039" t="s">
        <v>86</v>
      </c>
      <c r="X92" s="814"/>
      <c r="Y92" s="1016">
        <f>Y91</f>
        <v>0.94</v>
      </c>
      <c r="Z92" s="1017">
        <f>($Y92*E92)+SUM($AN$89:AN91)</f>
        <v>244.42</v>
      </c>
      <c r="AA92" s="1011">
        <f>$Y92*F92+(0.02*F89)</f>
        <v>261.08999999999997</v>
      </c>
      <c r="AB92" s="1016">
        <v>0.48</v>
      </c>
      <c r="AC92" s="1011">
        <f>$AB92*J92</f>
        <v>226.79999999999995</v>
      </c>
      <c r="AD92" s="1017">
        <f>($AB92*K92)+(0.02*K89)</f>
        <v>248.40487999999999</v>
      </c>
      <c r="AE92" s="1040">
        <v>0.5</v>
      </c>
      <c r="AF92" s="1019">
        <f>$AE92*M92</f>
        <v>480</v>
      </c>
      <c r="AG92" s="1019">
        <f>$AE92*N92</f>
        <v>1212.5</v>
      </c>
      <c r="AH92" s="1019">
        <f>$AE92*P92</f>
        <v>0</v>
      </c>
      <c r="AI92" s="1019">
        <f>$AE92*Q92</f>
        <v>722.5</v>
      </c>
      <c r="AJ92" s="1041">
        <f>Z92+AC92+AF92+AH92</f>
        <v>951.21999999999991</v>
      </c>
      <c r="AK92" s="1042">
        <f>AA92+AD92+AG92+AI92</f>
        <v>2444.4948800000002</v>
      </c>
      <c r="AL92" s="1021">
        <f>AJ92-AJ89</f>
        <v>-96.280000000000086</v>
      </c>
      <c r="AM92" s="1021">
        <f>AK92-AK89</f>
        <v>21.872879999999896</v>
      </c>
      <c r="AN92" s="1021" t="s">
        <v>26</v>
      </c>
      <c r="AO92" s="1021">
        <f>(AF92)*10/(100*(B92/24))</f>
        <v>9.6</v>
      </c>
      <c r="AP92" s="1043">
        <f>AF92/Z89</f>
        <v>0.45823389021479716</v>
      </c>
      <c r="AQ92" s="1044">
        <f>(Z89-Z92)*10/100/(B92/24)</f>
        <v>16.061600000000002</v>
      </c>
      <c r="AR92" s="1057">
        <f>(Z89-Z92)</f>
        <v>803.08</v>
      </c>
      <c r="AS92" s="1045">
        <f>((AC92+AF92)-AC89)/Z89</f>
        <v>0.67474940334128874</v>
      </c>
      <c r="AT92" s="1024">
        <f>AU92/10</f>
        <v>9.8819999999999991E-2</v>
      </c>
      <c r="AU92" s="1046">
        <f>((G89+T3)-G92)/(1000*(B92/24))</f>
        <v>0.98819999999999997</v>
      </c>
    </row>
    <row r="93" spans="1:47" ht="15" thickTop="1" x14ac:dyDescent="0.3">
      <c r="A93" s="1142" t="s">
        <v>188</v>
      </c>
      <c r="B93" s="541">
        <v>0</v>
      </c>
      <c r="C93" s="972">
        <v>7.82</v>
      </c>
      <c r="D93" s="543">
        <v>20.02</v>
      </c>
      <c r="E93" s="543">
        <f>41*25</f>
        <v>1025</v>
      </c>
      <c r="F93" s="543">
        <f>37.4*25</f>
        <v>935</v>
      </c>
      <c r="G93" s="548">
        <f>493*5</f>
        <v>2465</v>
      </c>
      <c r="H93" s="546">
        <v>12.19</v>
      </c>
      <c r="I93" s="547">
        <v>21.75</v>
      </c>
      <c r="J93" s="547">
        <v>0</v>
      </c>
      <c r="K93" s="548">
        <v>0</v>
      </c>
      <c r="L93" s="546" t="s">
        <v>26</v>
      </c>
      <c r="M93" s="547" t="s">
        <v>26</v>
      </c>
      <c r="N93" s="548" t="s">
        <v>26</v>
      </c>
      <c r="O93" s="546" t="s">
        <v>26</v>
      </c>
      <c r="P93" s="547" t="s">
        <v>26</v>
      </c>
      <c r="Q93" s="548" t="s">
        <v>26</v>
      </c>
      <c r="R93" s="546" t="s">
        <v>26</v>
      </c>
      <c r="S93" s="547" t="s">
        <v>26</v>
      </c>
      <c r="T93" s="547" t="s">
        <v>26</v>
      </c>
      <c r="U93" s="44"/>
      <c r="V93" s="1145">
        <v>150</v>
      </c>
      <c r="W93" s="563" t="s">
        <v>112</v>
      </c>
      <c r="Y93" s="418">
        <v>0.98</v>
      </c>
      <c r="Z93" s="566">
        <f>($Y93*E93)+AN93</f>
        <v>1025</v>
      </c>
      <c r="AA93" s="38">
        <f>($Y93*F93)+(0.02*F93)</f>
        <v>935</v>
      </c>
      <c r="AB93" s="418">
        <v>0.48</v>
      </c>
      <c r="AC93" s="38">
        <f>AB93*J93</f>
        <v>0</v>
      </c>
      <c r="AD93" s="38">
        <f>(AB93*K93)+(0.02*K93)</f>
        <v>0</v>
      </c>
      <c r="AE93" s="527">
        <v>0.5</v>
      </c>
      <c r="AF93" s="79">
        <v>0</v>
      </c>
      <c r="AG93" s="79">
        <f>(0.43*14*1000)*AE93</f>
        <v>3010</v>
      </c>
      <c r="AH93" s="79">
        <v>0</v>
      </c>
      <c r="AI93" s="79">
        <f>(0.43*14*1000)*AE93</f>
        <v>3010</v>
      </c>
      <c r="AJ93" s="393">
        <f>Z93+AC93+AF93+AH93</f>
        <v>1025</v>
      </c>
      <c r="AK93" s="410">
        <f>AA93+AD93+AG93+AI93</f>
        <v>6955</v>
      </c>
      <c r="AL93" s="394" t="s">
        <v>26</v>
      </c>
      <c r="AM93" s="394" t="s">
        <v>26</v>
      </c>
      <c r="AN93" s="79">
        <f t="shared" ref="AN93:AN96" si="14">0.02*E93</f>
        <v>20.5</v>
      </c>
      <c r="AO93" s="42"/>
      <c r="AP93" s="42"/>
      <c r="AQ93" s="43"/>
      <c r="AR93" s="42"/>
      <c r="AS93" s="341"/>
      <c r="AT93" s="469"/>
      <c r="AU93" s="341"/>
    </row>
    <row r="94" spans="1:47" x14ac:dyDescent="0.3">
      <c r="A94" s="1142"/>
      <c r="B94" s="541">
        <v>3.5</v>
      </c>
      <c r="C94" s="972">
        <v>7.97</v>
      </c>
      <c r="D94" s="544">
        <v>20.86</v>
      </c>
      <c r="E94" s="543">
        <f>36.7*25</f>
        <v>917.50000000000011</v>
      </c>
      <c r="F94" s="547" t="s">
        <v>26</v>
      </c>
      <c r="G94" s="548">
        <f>395*5</f>
        <v>1975</v>
      </c>
      <c r="H94" s="546" t="s">
        <v>26</v>
      </c>
      <c r="I94" s="547" t="s">
        <v>26</v>
      </c>
      <c r="J94" s="547" t="s">
        <v>26</v>
      </c>
      <c r="K94" s="548" t="s">
        <v>26</v>
      </c>
      <c r="L94" s="546" t="s">
        <v>26</v>
      </c>
      <c r="M94" s="547" t="s">
        <v>26</v>
      </c>
      <c r="N94" s="548" t="s">
        <v>26</v>
      </c>
      <c r="O94" s="546" t="s">
        <v>26</v>
      </c>
      <c r="P94" s="547" t="s">
        <v>26</v>
      </c>
      <c r="Q94" s="548" t="s">
        <v>26</v>
      </c>
      <c r="R94" s="546" t="s">
        <v>26</v>
      </c>
      <c r="S94" s="547" t="s">
        <v>26</v>
      </c>
      <c r="T94" s="547" t="s">
        <v>26</v>
      </c>
      <c r="U94" s="242"/>
      <c r="V94" s="1145"/>
      <c r="W94" s="563" t="s">
        <v>196</v>
      </c>
      <c r="Y94" s="418">
        <f>Y93-0.02</f>
        <v>0.96</v>
      </c>
      <c r="Z94" s="566">
        <f>($Y94*E94)+SUM($AN$93:AN94)</f>
        <v>919.65000000000009</v>
      </c>
      <c r="AA94" s="38" t="s">
        <v>26</v>
      </c>
      <c r="AB94" s="418" t="s">
        <v>26</v>
      </c>
      <c r="AC94" s="38" t="s">
        <v>26</v>
      </c>
      <c r="AD94" s="38" t="s">
        <v>26</v>
      </c>
      <c r="AE94" s="527">
        <v>0.5</v>
      </c>
      <c r="AF94" s="79" t="s">
        <v>26</v>
      </c>
      <c r="AG94" s="79" t="s">
        <v>26</v>
      </c>
      <c r="AH94" s="79" t="s">
        <v>26</v>
      </c>
      <c r="AI94" s="79" t="s">
        <v>26</v>
      </c>
      <c r="AJ94" s="393" t="s">
        <v>26</v>
      </c>
      <c r="AK94" s="410" t="s">
        <v>26</v>
      </c>
      <c r="AL94" s="394" t="s">
        <v>26</v>
      </c>
      <c r="AM94" s="394" t="s">
        <v>26</v>
      </c>
      <c r="AN94" s="325">
        <f t="shared" si="14"/>
        <v>18.350000000000001</v>
      </c>
      <c r="AO94" s="42"/>
      <c r="AP94" s="42"/>
      <c r="AQ94" s="43"/>
      <c r="AR94" s="42"/>
      <c r="AS94" s="341"/>
      <c r="AT94" s="469"/>
      <c r="AU94" s="341"/>
    </row>
    <row r="95" spans="1:47" x14ac:dyDescent="0.3">
      <c r="A95" s="1142"/>
      <c r="B95" s="541">
        <v>68</v>
      </c>
      <c r="C95" s="972">
        <v>7.89</v>
      </c>
      <c r="D95" s="544">
        <v>19.02</v>
      </c>
      <c r="E95" s="543">
        <f>15.7*25</f>
        <v>392.5</v>
      </c>
      <c r="F95" s="547" t="s">
        <v>26</v>
      </c>
      <c r="G95" s="548">
        <f>540*5</f>
        <v>2700</v>
      </c>
      <c r="H95" s="546" t="s">
        <v>26</v>
      </c>
      <c r="I95" s="547" t="s">
        <v>26</v>
      </c>
      <c r="J95" s="547" t="s">
        <v>26</v>
      </c>
      <c r="K95" s="548" t="s">
        <v>26</v>
      </c>
      <c r="L95" s="546" t="s">
        <v>26</v>
      </c>
      <c r="M95" s="547" t="s">
        <v>26</v>
      </c>
      <c r="N95" s="548" t="s">
        <v>26</v>
      </c>
      <c r="O95" s="546" t="s">
        <v>26</v>
      </c>
      <c r="P95" s="547" t="s">
        <v>26</v>
      </c>
      <c r="Q95" s="548" t="s">
        <v>26</v>
      </c>
      <c r="R95" s="546" t="s">
        <v>26</v>
      </c>
      <c r="S95" s="547" t="s">
        <v>26</v>
      </c>
      <c r="T95" s="547" t="s">
        <v>26</v>
      </c>
      <c r="U95" s="242"/>
      <c r="V95" s="1145"/>
      <c r="W95" s="563" t="s">
        <v>195</v>
      </c>
      <c r="Y95" s="418">
        <f t="shared" ref="Y95:Y96" si="15">Y94-0.02</f>
        <v>0.94</v>
      </c>
      <c r="Z95" s="566">
        <f>($Y95*E95)+SUM($AN$93:AN95)</f>
        <v>415.65</v>
      </c>
      <c r="AA95" s="38" t="s">
        <v>26</v>
      </c>
      <c r="AB95" s="418" t="s">
        <v>26</v>
      </c>
      <c r="AC95" s="38" t="s">
        <v>26</v>
      </c>
      <c r="AD95" s="38" t="s">
        <v>26</v>
      </c>
      <c r="AE95" s="527">
        <v>0.5</v>
      </c>
      <c r="AF95" s="79" t="s">
        <v>26</v>
      </c>
      <c r="AG95" s="79" t="s">
        <v>26</v>
      </c>
      <c r="AH95" s="79" t="s">
        <v>26</v>
      </c>
      <c r="AI95" s="79" t="s">
        <v>26</v>
      </c>
      <c r="AJ95" s="393" t="s">
        <v>26</v>
      </c>
      <c r="AK95" s="410" t="s">
        <v>26</v>
      </c>
      <c r="AL95" s="394" t="s">
        <v>26</v>
      </c>
      <c r="AM95" s="394" t="s">
        <v>26</v>
      </c>
      <c r="AN95" s="325">
        <f t="shared" si="14"/>
        <v>7.8500000000000005</v>
      </c>
      <c r="AO95" s="42"/>
      <c r="AP95" s="42"/>
      <c r="AQ95" s="43"/>
      <c r="AR95" s="42"/>
      <c r="AS95" s="341"/>
      <c r="AT95" s="469"/>
      <c r="AU95" s="341"/>
    </row>
    <row r="96" spans="1:47" x14ac:dyDescent="0.3">
      <c r="A96" s="1142"/>
      <c r="B96" s="541">
        <v>96</v>
      </c>
      <c r="C96" s="972">
        <v>7.7</v>
      </c>
      <c r="D96" s="543">
        <v>17.79</v>
      </c>
      <c r="E96" s="543">
        <f>23.9*10</f>
        <v>239</v>
      </c>
      <c r="F96" s="547" t="s">
        <v>26</v>
      </c>
      <c r="G96" s="548">
        <f>533*5</f>
        <v>2665</v>
      </c>
      <c r="H96" s="546" t="s">
        <v>26</v>
      </c>
      <c r="I96" s="547" t="s">
        <v>26</v>
      </c>
      <c r="J96" s="547" t="s">
        <v>26</v>
      </c>
      <c r="K96" s="548" t="s">
        <v>26</v>
      </c>
      <c r="L96" s="546" t="s">
        <v>26</v>
      </c>
      <c r="M96" s="547" t="s">
        <v>26</v>
      </c>
      <c r="N96" s="548" t="s">
        <v>26</v>
      </c>
      <c r="O96" s="546" t="s">
        <v>26</v>
      </c>
      <c r="P96" s="547" t="s">
        <v>26</v>
      </c>
      <c r="Q96" s="548" t="s">
        <v>26</v>
      </c>
      <c r="R96" s="546" t="s">
        <v>26</v>
      </c>
      <c r="S96" s="547" t="s">
        <v>26</v>
      </c>
      <c r="T96" s="547" t="s">
        <v>26</v>
      </c>
      <c r="U96" s="242"/>
      <c r="V96" s="1145"/>
      <c r="W96" s="563" t="s">
        <v>195</v>
      </c>
      <c r="Y96" s="418">
        <f t="shared" si="15"/>
        <v>0.91999999999999993</v>
      </c>
      <c r="Z96" s="566">
        <f>($Y96*E96)+SUM($AN$93:AN96)</f>
        <v>271.36</v>
      </c>
      <c r="AA96" s="38" t="s">
        <v>26</v>
      </c>
      <c r="AB96" s="418" t="s">
        <v>26</v>
      </c>
      <c r="AC96" s="38" t="s">
        <v>26</v>
      </c>
      <c r="AD96" s="38" t="s">
        <v>26</v>
      </c>
      <c r="AE96" s="527">
        <v>0.5</v>
      </c>
      <c r="AF96" s="79" t="s">
        <v>26</v>
      </c>
      <c r="AG96" s="79" t="s">
        <v>26</v>
      </c>
      <c r="AH96" s="79" t="s">
        <v>26</v>
      </c>
      <c r="AI96" s="79" t="s">
        <v>26</v>
      </c>
      <c r="AJ96" s="393" t="s">
        <v>26</v>
      </c>
      <c r="AK96" s="410" t="s">
        <v>26</v>
      </c>
      <c r="AL96" s="394" t="s">
        <v>26</v>
      </c>
      <c r="AM96" s="394" t="s">
        <v>26</v>
      </c>
      <c r="AN96" s="325">
        <f t="shared" si="14"/>
        <v>4.78</v>
      </c>
      <c r="AO96" s="42"/>
      <c r="AP96" s="42"/>
      <c r="AQ96" s="43"/>
      <c r="AR96" s="42"/>
      <c r="AS96" s="341"/>
      <c r="AT96" s="469"/>
      <c r="AU96" s="341"/>
    </row>
    <row r="97" spans="1:47" ht="15" thickBot="1" x14ac:dyDescent="0.35">
      <c r="A97" s="1143"/>
      <c r="B97" s="577">
        <v>120</v>
      </c>
      <c r="C97" s="578">
        <v>7.56</v>
      </c>
      <c r="D97" s="579">
        <v>18.350000000000001</v>
      </c>
      <c r="E97" s="580">
        <f>18.2*10</f>
        <v>182</v>
      </c>
      <c r="F97" s="580">
        <f>41.3*5</f>
        <v>206.5</v>
      </c>
      <c r="G97" s="581">
        <f>691*5</f>
        <v>3455</v>
      </c>
      <c r="H97" s="605">
        <v>11</v>
      </c>
      <c r="I97" s="579">
        <v>23.3</v>
      </c>
      <c r="J97" s="579">
        <f>25.3*25</f>
        <v>632.5</v>
      </c>
      <c r="K97" s="606">
        <f>25.4*25</f>
        <v>635</v>
      </c>
      <c r="L97" s="596">
        <v>147.6</v>
      </c>
      <c r="M97" s="580">
        <f>18.2*50</f>
        <v>910</v>
      </c>
      <c r="N97" s="597">
        <f>73.9*100</f>
        <v>7390.0000000000009</v>
      </c>
      <c r="O97" s="596">
        <v>169.2</v>
      </c>
      <c r="P97" s="580">
        <v>0</v>
      </c>
      <c r="Q97" s="597">
        <f>62.3*100</f>
        <v>6230</v>
      </c>
      <c r="R97" s="1068" t="s">
        <v>26</v>
      </c>
      <c r="S97" s="583" t="s">
        <v>26</v>
      </c>
      <c r="T97" s="583">
        <v>0.25</v>
      </c>
      <c r="U97" s="584">
        <v>21.77</v>
      </c>
      <c r="V97" s="1146"/>
      <c r="W97" s="590" t="s">
        <v>86</v>
      </c>
      <c r="X97" s="814"/>
      <c r="Y97" s="417">
        <f>Y96</f>
        <v>0.91999999999999993</v>
      </c>
      <c r="Z97" s="586">
        <f>($Y97*E97)+SUM($AN$93:AN96)</f>
        <v>218.92000000000002</v>
      </c>
      <c r="AA97" s="307">
        <f>$Y97*F97+(0.02*F93)</f>
        <v>208.67999999999998</v>
      </c>
      <c r="AB97" s="417">
        <v>0.48</v>
      </c>
      <c r="AC97" s="307">
        <f>$AB97*J97</f>
        <v>303.59999999999997</v>
      </c>
      <c r="AD97" s="586">
        <f>($AB97*K97)+(0.02*K93)</f>
        <v>304.8</v>
      </c>
      <c r="AE97" s="587">
        <v>0.5</v>
      </c>
      <c r="AF97" s="483">
        <f>$AE97*M97</f>
        <v>455</v>
      </c>
      <c r="AG97" s="483">
        <f>$AE97*N97</f>
        <v>3695.0000000000005</v>
      </c>
      <c r="AH97" s="483">
        <f>$AE97*P97</f>
        <v>0</v>
      </c>
      <c r="AI97" s="483">
        <f>$AE97*Q97</f>
        <v>3115</v>
      </c>
      <c r="AJ97" s="412">
        <f>Z97+AC97+AF97+AH97</f>
        <v>977.52</v>
      </c>
      <c r="AK97" s="964">
        <f>AA97+AD97+AG97+AI97</f>
        <v>7323.4800000000005</v>
      </c>
      <c r="AL97" s="388">
        <f>AJ97-AJ93</f>
        <v>-47.480000000000018</v>
      </c>
      <c r="AM97" s="388">
        <f>AK97-AK93</f>
        <v>368.48000000000047</v>
      </c>
      <c r="AN97" s="388" t="s">
        <v>26</v>
      </c>
      <c r="AO97" s="388">
        <f>(AF97)*10/(100*(B97/24))</f>
        <v>9.1</v>
      </c>
      <c r="AP97" s="389">
        <f>AF97/Z93</f>
        <v>0.44390243902439025</v>
      </c>
      <c r="AQ97" s="432">
        <f>(Z93-Z97)*10/100/(B97/24)</f>
        <v>16.121599999999997</v>
      </c>
      <c r="AR97" s="1056">
        <f>(Z93-Z97)</f>
        <v>806.07999999999993</v>
      </c>
      <c r="AS97" s="862">
        <f>((AC97+AF97)-AC93)/Z93</f>
        <v>0.74009756097560964</v>
      </c>
      <c r="AT97" s="472">
        <f>AU97/10</f>
        <v>5.0200000000000002E-2</v>
      </c>
      <c r="AU97" s="920">
        <f>((G93+$T$3)-G97)/(1000*(B97/24))</f>
        <v>0.502</v>
      </c>
    </row>
    <row r="98" spans="1:47" ht="15" thickTop="1" x14ac:dyDescent="0.3">
      <c r="A98" s="1141" t="s">
        <v>199</v>
      </c>
      <c r="B98" s="541">
        <v>0</v>
      </c>
      <c r="C98" s="1003">
        <v>7.48</v>
      </c>
      <c r="D98" s="543">
        <v>19.75</v>
      </c>
      <c r="E98" s="543">
        <f>39.1*25</f>
        <v>977.5</v>
      </c>
      <c r="F98" s="543">
        <f>42.4*25</f>
        <v>1060</v>
      </c>
      <c r="G98" s="545">
        <f>382*5</f>
        <v>1910</v>
      </c>
      <c r="H98" s="546">
        <v>12.05</v>
      </c>
      <c r="I98" s="547">
        <v>20.65</v>
      </c>
      <c r="J98" s="547">
        <v>0</v>
      </c>
      <c r="K98" s="545">
        <v>0</v>
      </c>
      <c r="L98" s="546" t="s">
        <v>26</v>
      </c>
      <c r="M98" s="547" t="s">
        <v>26</v>
      </c>
      <c r="N98" s="548" t="s">
        <v>26</v>
      </c>
      <c r="O98" s="546" t="s">
        <v>26</v>
      </c>
      <c r="P98" s="547" t="s">
        <v>26</v>
      </c>
      <c r="Q98" s="548" t="s">
        <v>26</v>
      </c>
      <c r="R98" s="546" t="s">
        <v>26</v>
      </c>
      <c r="S98" s="547" t="s">
        <v>26</v>
      </c>
      <c r="T98" s="547" t="s">
        <v>26</v>
      </c>
      <c r="U98" s="169"/>
      <c r="V98" s="1144">
        <v>150</v>
      </c>
      <c r="W98" s="563" t="s">
        <v>112</v>
      </c>
      <c r="Y98" s="418">
        <v>0.98</v>
      </c>
      <c r="Z98" s="566">
        <f>($Y98*E98)+AN98</f>
        <v>977.49999999999989</v>
      </c>
      <c r="AA98" s="38">
        <f>($Y98*F98)+(0.02*F98)</f>
        <v>1060</v>
      </c>
      <c r="AB98" s="418">
        <v>0.48</v>
      </c>
      <c r="AC98" s="38">
        <f>AB98*J98</f>
        <v>0</v>
      </c>
      <c r="AD98" s="38">
        <f>(AB98*K98)+(0.02*K98)</f>
        <v>0</v>
      </c>
      <c r="AE98" s="527">
        <v>0.5</v>
      </c>
      <c r="AF98" s="79">
        <v>0</v>
      </c>
      <c r="AG98" s="79">
        <v>700</v>
      </c>
      <c r="AH98" s="79">
        <v>0</v>
      </c>
      <c r="AI98" s="79">
        <v>700</v>
      </c>
      <c r="AJ98" s="393">
        <f>Z98+AC98+AF98+AH98</f>
        <v>977.49999999999989</v>
      </c>
      <c r="AK98" s="410">
        <f>AA98+AD98+AG98+AI98</f>
        <v>2460</v>
      </c>
      <c r="AL98" s="394" t="s">
        <v>26</v>
      </c>
      <c r="AM98" s="394" t="s">
        <v>26</v>
      </c>
      <c r="AN98" s="325">
        <f t="shared" ref="AN98:AN100" si="16">0.02*E98</f>
        <v>19.55</v>
      </c>
      <c r="AO98" s="42"/>
      <c r="AP98" s="42"/>
      <c r="AQ98" s="43"/>
      <c r="AR98" s="42"/>
      <c r="AS98" s="341"/>
      <c r="AT98" s="469"/>
      <c r="AU98" s="341"/>
    </row>
    <row r="99" spans="1:47" x14ac:dyDescent="0.3">
      <c r="A99" s="1142"/>
      <c r="B99" s="541">
        <v>21</v>
      </c>
      <c r="C99" s="1003">
        <v>7.84</v>
      </c>
      <c r="D99" s="544">
        <v>18.12</v>
      </c>
      <c r="E99" s="543">
        <f>25.7*25</f>
        <v>642.5</v>
      </c>
      <c r="F99" s="547" t="s">
        <v>26</v>
      </c>
      <c r="G99" s="548">
        <f>374*5</f>
        <v>1870</v>
      </c>
      <c r="H99" s="546" t="s">
        <v>26</v>
      </c>
      <c r="I99" s="547" t="s">
        <v>26</v>
      </c>
      <c r="J99" s="547" t="s">
        <v>26</v>
      </c>
      <c r="K99" s="548" t="s">
        <v>26</v>
      </c>
      <c r="L99" s="546" t="s">
        <v>26</v>
      </c>
      <c r="M99" s="547" t="s">
        <v>26</v>
      </c>
      <c r="N99" s="548" t="s">
        <v>26</v>
      </c>
      <c r="O99" s="546" t="s">
        <v>26</v>
      </c>
      <c r="P99" s="547" t="s">
        <v>26</v>
      </c>
      <c r="Q99" s="548" t="s">
        <v>26</v>
      </c>
      <c r="R99" s="546" t="s">
        <v>26</v>
      </c>
      <c r="S99" s="547" t="s">
        <v>26</v>
      </c>
      <c r="T99" s="547" t="s">
        <v>26</v>
      </c>
      <c r="U99" s="242"/>
      <c r="V99" s="1145"/>
      <c r="W99" s="563" t="s">
        <v>197</v>
      </c>
      <c r="Y99" s="418">
        <f>Y98-0.02</f>
        <v>0.96</v>
      </c>
      <c r="Z99" s="566">
        <f>($Y99*E99)+SUM($AN$98:AN99)</f>
        <v>649.19999999999993</v>
      </c>
      <c r="AA99" s="38" t="s">
        <v>26</v>
      </c>
      <c r="AB99" s="418" t="s">
        <v>26</v>
      </c>
      <c r="AC99" s="38" t="s">
        <v>26</v>
      </c>
      <c r="AD99" s="38" t="s">
        <v>26</v>
      </c>
      <c r="AE99" s="527">
        <v>0.5</v>
      </c>
      <c r="AF99" s="79" t="s">
        <v>26</v>
      </c>
      <c r="AG99" s="79" t="s">
        <v>26</v>
      </c>
      <c r="AH99" s="79" t="s">
        <v>26</v>
      </c>
      <c r="AI99" s="79" t="s">
        <v>26</v>
      </c>
      <c r="AJ99" s="393" t="s">
        <v>26</v>
      </c>
      <c r="AK99" s="410" t="s">
        <v>26</v>
      </c>
      <c r="AL99" s="394" t="s">
        <v>26</v>
      </c>
      <c r="AM99" s="394" t="s">
        <v>26</v>
      </c>
      <c r="AN99" s="325">
        <f t="shared" si="16"/>
        <v>12.85</v>
      </c>
      <c r="AO99" s="42"/>
      <c r="AP99" s="42"/>
      <c r="AQ99" s="43"/>
      <c r="AR99" s="42"/>
      <c r="AS99" s="341"/>
      <c r="AT99" s="469"/>
      <c r="AU99" s="341"/>
    </row>
    <row r="100" spans="1:47" x14ac:dyDescent="0.3">
      <c r="A100" s="1142"/>
      <c r="B100" s="541">
        <v>90</v>
      </c>
      <c r="C100" s="1003">
        <v>7.65</v>
      </c>
      <c r="D100" s="543">
        <v>15.97</v>
      </c>
      <c r="E100" s="543">
        <f>20.5*10</f>
        <v>205</v>
      </c>
      <c r="F100" s="547" t="s">
        <v>26</v>
      </c>
      <c r="G100" s="548">
        <f>161*10</f>
        <v>1610</v>
      </c>
      <c r="H100" s="546" t="s">
        <v>26</v>
      </c>
      <c r="I100" s="547" t="s">
        <v>26</v>
      </c>
      <c r="J100" s="547" t="s">
        <v>26</v>
      </c>
      <c r="K100" s="548" t="s">
        <v>26</v>
      </c>
      <c r="L100" s="546" t="s">
        <v>26</v>
      </c>
      <c r="M100" s="547" t="s">
        <v>26</v>
      </c>
      <c r="N100" s="548" t="s">
        <v>26</v>
      </c>
      <c r="O100" s="546" t="s">
        <v>26</v>
      </c>
      <c r="P100" s="547" t="s">
        <v>26</v>
      </c>
      <c r="Q100" s="548" t="s">
        <v>26</v>
      </c>
      <c r="R100" s="546" t="s">
        <v>26</v>
      </c>
      <c r="S100" s="547" t="s">
        <v>26</v>
      </c>
      <c r="T100" s="547" t="s">
        <v>26</v>
      </c>
      <c r="U100" s="242"/>
      <c r="V100" s="1145"/>
      <c r="W100" s="563" t="s">
        <v>195</v>
      </c>
      <c r="Y100" s="418">
        <f t="shared" ref="Y100" si="17">Y99-0.02</f>
        <v>0.94</v>
      </c>
      <c r="Z100" s="566">
        <f>($Y100*E100)+SUM($AN$98:AN100)</f>
        <v>229.2</v>
      </c>
      <c r="AA100" s="38" t="s">
        <v>26</v>
      </c>
      <c r="AB100" s="418" t="s">
        <v>26</v>
      </c>
      <c r="AC100" s="38" t="s">
        <v>26</v>
      </c>
      <c r="AD100" s="38" t="s">
        <v>26</v>
      </c>
      <c r="AE100" s="527">
        <v>0.5</v>
      </c>
      <c r="AF100" s="79" t="s">
        <v>26</v>
      </c>
      <c r="AG100" s="79" t="s">
        <v>26</v>
      </c>
      <c r="AH100" s="79" t="s">
        <v>26</v>
      </c>
      <c r="AI100" s="79" t="s">
        <v>26</v>
      </c>
      <c r="AJ100" s="393" t="s">
        <v>26</v>
      </c>
      <c r="AK100" s="410" t="s">
        <v>26</v>
      </c>
      <c r="AL100" s="394" t="s">
        <v>26</v>
      </c>
      <c r="AM100" s="394" t="s">
        <v>26</v>
      </c>
      <c r="AN100" s="325">
        <f t="shared" si="16"/>
        <v>4.0999999999999996</v>
      </c>
      <c r="AO100" s="42"/>
      <c r="AP100" s="42"/>
      <c r="AQ100" s="43"/>
      <c r="AR100" s="42"/>
      <c r="AS100" s="341"/>
      <c r="AT100" s="469"/>
      <c r="AU100" s="341"/>
    </row>
    <row r="101" spans="1:47" ht="15" thickBot="1" x14ac:dyDescent="0.35">
      <c r="A101" s="1143"/>
      <c r="B101" s="577">
        <v>120</v>
      </c>
      <c r="C101" s="578">
        <v>7.59</v>
      </c>
      <c r="D101" s="579">
        <v>15.24</v>
      </c>
      <c r="E101" s="580">
        <f>22.1*5</f>
        <v>110.5</v>
      </c>
      <c r="F101" s="580">
        <f>28.2*5</f>
        <v>141</v>
      </c>
      <c r="G101" s="581">
        <f>466*5</f>
        <v>2330</v>
      </c>
      <c r="H101" s="605">
        <v>12.02</v>
      </c>
      <c r="I101" s="579">
        <v>25.8</v>
      </c>
      <c r="J101" s="579">
        <f>19.7*25</f>
        <v>492.5</v>
      </c>
      <c r="K101" s="606">
        <f>21*25</f>
        <v>525</v>
      </c>
      <c r="L101" s="605">
        <v>19.8</v>
      </c>
      <c r="M101" s="580">
        <f>40.9*25</f>
        <v>1022.5</v>
      </c>
      <c r="N101" s="606">
        <f>50.5*50</f>
        <v>2525</v>
      </c>
      <c r="O101" s="605">
        <v>41.3</v>
      </c>
      <c r="P101" s="580">
        <v>0</v>
      </c>
      <c r="Q101" s="606">
        <f>31.1*50</f>
        <v>1555</v>
      </c>
      <c r="R101" s="1068" t="s">
        <v>26</v>
      </c>
      <c r="S101" s="583" t="s">
        <v>26</v>
      </c>
      <c r="T101" s="583">
        <v>0.3</v>
      </c>
      <c r="U101" s="584">
        <f>2906.96/B101</f>
        <v>24.224666666666668</v>
      </c>
      <c r="V101" s="1146"/>
      <c r="W101" s="590" t="s">
        <v>86</v>
      </c>
      <c r="X101" s="814"/>
      <c r="Y101" s="417">
        <f>Y100</f>
        <v>0.94</v>
      </c>
      <c r="Z101" s="586">
        <f>($Y101*E101)+SUM($AN$98:AN100)</f>
        <v>140.37</v>
      </c>
      <c r="AA101" s="307">
        <f>$Y101*F101+(0.02*F98)</f>
        <v>153.73999999999998</v>
      </c>
      <c r="AB101" s="417">
        <v>0.48</v>
      </c>
      <c r="AC101" s="307">
        <f>$AB101*J101</f>
        <v>236.39999999999998</v>
      </c>
      <c r="AD101" s="586">
        <f>($AB101*K101)+(0.02*K98)</f>
        <v>252</v>
      </c>
      <c r="AE101" s="587">
        <v>0.5</v>
      </c>
      <c r="AF101" s="483">
        <f>$AE101*M101</f>
        <v>511.25</v>
      </c>
      <c r="AG101" s="483">
        <f>$AE101*N101</f>
        <v>1262.5</v>
      </c>
      <c r="AH101" s="483">
        <f>$AE101*P101</f>
        <v>0</v>
      </c>
      <c r="AI101" s="483">
        <f>$AE101*Q101</f>
        <v>777.5</v>
      </c>
      <c r="AJ101" s="412">
        <f>Z101+AC101+AF101+AH101</f>
        <v>888.02</v>
      </c>
      <c r="AK101" s="964">
        <f>AA101+AD101+AG101+AI101</f>
        <v>2445.7399999999998</v>
      </c>
      <c r="AL101" s="388">
        <f>AJ101-AJ98</f>
        <v>-89.479999999999905</v>
      </c>
      <c r="AM101" s="388">
        <f>AK101-AK98</f>
        <v>-14.260000000000218</v>
      </c>
      <c r="AN101" s="388" t="s">
        <v>26</v>
      </c>
      <c r="AO101" s="388">
        <f>(AF101)*10/(100*(B101/24))</f>
        <v>10.225</v>
      </c>
      <c r="AP101" s="389">
        <f>AF101/Z98</f>
        <v>0.5230179028132993</v>
      </c>
      <c r="AQ101" s="432">
        <f>(Z98-Z101)*10/100/(B101/24)</f>
        <v>16.742599999999999</v>
      </c>
      <c r="AR101" s="1056">
        <f>(Z98-Z101)</f>
        <v>837.12999999999988</v>
      </c>
      <c r="AS101" s="862">
        <f>((AC101+AF101)-AC98)/Z98</f>
        <v>0.76485933503836323</v>
      </c>
      <c r="AT101" s="472">
        <f>AU101/10</f>
        <v>4.0600000000000004E-2</v>
      </c>
      <c r="AU101" s="920">
        <f>((G98+(1750/2.5*(3.5)))-G101)/(1000*(B101/24))</f>
        <v>0.40600000000000003</v>
      </c>
    </row>
    <row r="102" spans="1:47" ht="15" thickTop="1" x14ac:dyDescent="0.3">
      <c r="A102" s="1086" t="s">
        <v>201</v>
      </c>
      <c r="B102" s="567">
        <v>0</v>
      </c>
      <c r="C102" s="1052">
        <v>7.28</v>
      </c>
      <c r="D102" s="569">
        <v>19.739999999999998</v>
      </c>
      <c r="E102" s="569">
        <f>39.7*25</f>
        <v>992.50000000000011</v>
      </c>
      <c r="F102" s="569">
        <f>41.2*25</f>
        <v>1030</v>
      </c>
      <c r="G102" s="567">
        <f>976*2</f>
        <v>1952</v>
      </c>
      <c r="H102" s="1052">
        <v>12.05</v>
      </c>
      <c r="I102" s="569">
        <v>20.57</v>
      </c>
      <c r="J102" s="569">
        <v>0</v>
      </c>
      <c r="K102" s="649">
        <v>0</v>
      </c>
      <c r="L102" s="663" t="s">
        <v>26</v>
      </c>
      <c r="M102" s="664" t="s">
        <v>26</v>
      </c>
      <c r="N102" s="567" t="s">
        <v>26</v>
      </c>
      <c r="O102" s="1050" t="s">
        <v>26</v>
      </c>
      <c r="P102" s="664" t="s">
        <v>26</v>
      </c>
      <c r="Q102" s="567" t="s">
        <v>26</v>
      </c>
      <c r="R102" s="1050">
        <f>-272/1000</f>
        <v>-0.27200000000000002</v>
      </c>
      <c r="S102" s="664">
        <f>-652/1000</f>
        <v>-0.65200000000000002</v>
      </c>
      <c r="T102" s="1060">
        <f>R102-S102</f>
        <v>0.38</v>
      </c>
      <c r="U102" s="567" t="s">
        <v>26</v>
      </c>
      <c r="V102" s="1073">
        <v>150</v>
      </c>
      <c r="W102" s="563" t="s">
        <v>126</v>
      </c>
      <c r="X102" s="654"/>
      <c r="Y102" s="571">
        <v>0.98</v>
      </c>
      <c r="Z102" s="323">
        <f>($Y102*E102)+AN102</f>
        <v>992.50000000000011</v>
      </c>
      <c r="AA102" s="323">
        <f>($Y102*F102)+(0.02*F102)</f>
        <v>1030</v>
      </c>
      <c r="AB102" s="405">
        <f>0.48</f>
        <v>0.48</v>
      </c>
      <c r="AC102" s="323">
        <f>AB102*J102</f>
        <v>0</v>
      </c>
      <c r="AD102" s="594">
        <f>(AB102*K102)+(0.02*K102)</f>
        <v>0</v>
      </c>
      <c r="AE102" s="330">
        <v>0.5</v>
      </c>
      <c r="AF102" s="367">
        <v>0</v>
      </c>
      <c r="AG102" s="367">
        <f>(0.1*14*1000)*AE102</f>
        <v>700.00000000000011</v>
      </c>
      <c r="AH102" s="367">
        <v>0</v>
      </c>
      <c r="AI102" s="367">
        <f>(0.1*14*1000)*AE102</f>
        <v>700.00000000000011</v>
      </c>
      <c r="AJ102" s="374">
        <f>Z102+AC102+AF102+AH102</f>
        <v>992.50000000000011</v>
      </c>
      <c r="AK102" s="331">
        <f>AA102+AD102+AG102+AI102</f>
        <v>2430</v>
      </c>
      <c r="AL102" s="331" t="s">
        <v>26</v>
      </c>
      <c r="AM102" s="331" t="s">
        <v>26</v>
      </c>
      <c r="AN102" s="1061">
        <f t="shared" ref="AN102:AN105" si="18">0.02*E102</f>
        <v>19.850000000000001</v>
      </c>
      <c r="AO102" s="301"/>
      <c r="AP102" s="301"/>
      <c r="AQ102" s="536"/>
      <c r="AR102" s="1049"/>
      <c r="AS102" s="824"/>
      <c r="AT102" s="41"/>
      <c r="AU102" s="44"/>
    </row>
    <row r="103" spans="1:47" x14ac:dyDescent="0.3">
      <c r="A103" s="1076"/>
      <c r="B103" s="623">
        <v>1</v>
      </c>
      <c r="C103" s="1052">
        <v>7.56</v>
      </c>
      <c r="D103" s="569">
        <v>22.5</v>
      </c>
      <c r="E103" s="569">
        <f>35.1*25</f>
        <v>877.5</v>
      </c>
      <c r="F103" s="569" t="s">
        <v>26</v>
      </c>
      <c r="G103" s="623">
        <f>390*5</f>
        <v>1950</v>
      </c>
      <c r="H103" s="1052" t="s">
        <v>26</v>
      </c>
      <c r="I103" s="569" t="s">
        <v>26</v>
      </c>
      <c r="J103" s="569" t="s">
        <v>26</v>
      </c>
      <c r="K103" s="649" t="s">
        <v>26</v>
      </c>
      <c r="L103" s="650" t="s">
        <v>26</v>
      </c>
      <c r="M103" s="569" t="s">
        <v>26</v>
      </c>
      <c r="N103" s="623" t="s">
        <v>26</v>
      </c>
      <c r="O103" s="1052" t="s">
        <v>26</v>
      </c>
      <c r="P103" s="569" t="s">
        <v>26</v>
      </c>
      <c r="Q103" s="623" t="s">
        <v>26</v>
      </c>
      <c r="R103" s="1052">
        <f>15.1/1000</f>
        <v>1.5099999999999999E-2</v>
      </c>
      <c r="S103" s="569">
        <f>-369.5/1000</f>
        <v>-0.3695</v>
      </c>
      <c r="T103" s="1059">
        <f>ABS(S103-R103)</f>
        <v>0.3846</v>
      </c>
      <c r="U103" s="623" t="s">
        <v>26</v>
      </c>
      <c r="V103" s="1074"/>
      <c r="W103" s="563" t="s">
        <v>126</v>
      </c>
      <c r="X103" s="654"/>
      <c r="Y103" s="635">
        <f>Y102-0.02</f>
        <v>0.96</v>
      </c>
      <c r="Z103" s="138">
        <f>($Y103*E103)+SUM($AN102:AN103)</f>
        <v>879.8</v>
      </c>
      <c r="AA103" s="38" t="s">
        <v>26</v>
      </c>
      <c r="AB103" s="418" t="s">
        <v>26</v>
      </c>
      <c r="AC103" s="38" t="s">
        <v>26</v>
      </c>
      <c r="AD103" s="566" t="s">
        <v>26</v>
      </c>
      <c r="AE103" s="514">
        <v>0.5</v>
      </c>
      <c r="AF103" s="79" t="s">
        <v>26</v>
      </c>
      <c r="AG103" s="79" t="s">
        <v>26</v>
      </c>
      <c r="AH103" s="79" t="s">
        <v>26</v>
      </c>
      <c r="AI103" s="79" t="s">
        <v>26</v>
      </c>
      <c r="AJ103" s="393" t="s">
        <v>26</v>
      </c>
      <c r="AK103" s="394" t="s">
        <v>26</v>
      </c>
      <c r="AL103" s="394" t="s">
        <v>26</v>
      </c>
      <c r="AM103" s="394" t="s">
        <v>26</v>
      </c>
      <c r="AN103" s="334">
        <f t="shared" si="18"/>
        <v>17.55</v>
      </c>
      <c r="AO103" s="532"/>
      <c r="AP103" s="532"/>
      <c r="AQ103" s="497"/>
      <c r="AR103" s="1047"/>
      <c r="AS103" s="818"/>
      <c r="AT103" s="41"/>
      <c r="AU103" s="44"/>
    </row>
    <row r="104" spans="1:47" x14ac:dyDescent="0.3">
      <c r="A104" s="1077"/>
      <c r="B104" s="95">
        <v>20</v>
      </c>
      <c r="C104" s="1051">
        <v>7.59</v>
      </c>
      <c r="D104" s="570">
        <v>18.29</v>
      </c>
      <c r="E104" s="94">
        <f>26.9*25</f>
        <v>672.5</v>
      </c>
      <c r="F104" s="94" t="s">
        <v>26</v>
      </c>
      <c r="G104" s="95">
        <f>304*5</f>
        <v>1520</v>
      </c>
      <c r="H104" s="1051" t="s">
        <v>26</v>
      </c>
      <c r="I104" s="94" t="s">
        <v>26</v>
      </c>
      <c r="J104" s="94" t="s">
        <v>26</v>
      </c>
      <c r="K104" s="96" t="s">
        <v>26</v>
      </c>
      <c r="L104" s="27" t="s">
        <v>26</v>
      </c>
      <c r="M104" s="94" t="s">
        <v>26</v>
      </c>
      <c r="N104" s="95" t="s">
        <v>26</v>
      </c>
      <c r="O104" s="1051" t="s">
        <v>26</v>
      </c>
      <c r="P104" s="94" t="s">
        <v>26</v>
      </c>
      <c r="Q104" s="95" t="s">
        <v>26</v>
      </c>
      <c r="R104" s="1051">
        <f>-163.2/1000</f>
        <v>-0.16319999999999998</v>
      </c>
      <c r="S104" s="94">
        <f>-533.9/1000</f>
        <v>-0.53389999999999993</v>
      </c>
      <c r="T104" s="1062">
        <f>R104-S104</f>
        <v>0.37069999999999992</v>
      </c>
      <c r="U104" s="95" t="s">
        <v>26</v>
      </c>
      <c r="V104" s="1074"/>
      <c r="W104" s="563" t="s">
        <v>197</v>
      </c>
      <c r="X104" s="654"/>
      <c r="Y104" s="572">
        <f>Y103-0.02</f>
        <v>0.94</v>
      </c>
      <c r="Z104" s="138">
        <f>($Y104*E104)+SUM($AN102:AN104)</f>
        <v>683</v>
      </c>
      <c r="AA104" s="138" t="s">
        <v>26</v>
      </c>
      <c r="AB104" s="419" t="s">
        <v>26</v>
      </c>
      <c r="AC104" s="138" t="s">
        <v>26</v>
      </c>
      <c r="AD104" s="138" t="s">
        <v>26</v>
      </c>
      <c r="AE104" s="333">
        <v>0.5</v>
      </c>
      <c r="AF104" s="325" t="s">
        <v>26</v>
      </c>
      <c r="AG104" s="325" t="s">
        <v>26</v>
      </c>
      <c r="AH104" s="325" t="s">
        <v>26</v>
      </c>
      <c r="AI104" s="325" t="s">
        <v>26</v>
      </c>
      <c r="AJ104" s="376" t="s">
        <v>26</v>
      </c>
      <c r="AK104" s="334" t="s">
        <v>26</v>
      </c>
      <c r="AL104" s="334" t="s">
        <v>26</v>
      </c>
      <c r="AM104" s="334" t="s">
        <v>26</v>
      </c>
      <c r="AN104" s="334">
        <f t="shared" si="18"/>
        <v>13.450000000000001</v>
      </c>
      <c r="AO104" s="302"/>
      <c r="AP104" s="302"/>
      <c r="AQ104" s="535"/>
      <c r="AR104" s="1048"/>
      <c r="AS104" s="819"/>
      <c r="AT104" s="30"/>
      <c r="AU104" s="31"/>
    </row>
    <row r="105" spans="1:47" x14ac:dyDescent="0.3">
      <c r="A105" s="1077"/>
      <c r="B105" s="95">
        <v>91</v>
      </c>
      <c r="C105" s="1051">
        <v>7.32</v>
      </c>
      <c r="D105" s="94">
        <v>15.7</v>
      </c>
      <c r="E105" s="94">
        <f>17.1*10</f>
        <v>171</v>
      </c>
      <c r="F105" s="94" t="s">
        <v>26</v>
      </c>
      <c r="G105" s="95">
        <f>311*5</f>
        <v>1555</v>
      </c>
      <c r="H105" s="1051" t="s">
        <v>26</v>
      </c>
      <c r="I105" s="94" t="s">
        <v>26</v>
      </c>
      <c r="J105" s="94" t="s">
        <v>26</v>
      </c>
      <c r="K105" s="96" t="s">
        <v>26</v>
      </c>
      <c r="L105" s="27" t="s">
        <v>26</v>
      </c>
      <c r="M105" s="94" t="s">
        <v>26</v>
      </c>
      <c r="N105" s="95" t="s">
        <v>26</v>
      </c>
      <c r="O105" s="1051" t="s">
        <v>26</v>
      </c>
      <c r="P105" s="94" t="s">
        <v>26</v>
      </c>
      <c r="Q105" s="95" t="s">
        <v>26</v>
      </c>
      <c r="R105" s="27">
        <f>-121/1000</f>
        <v>-0.121</v>
      </c>
      <c r="S105" s="94">
        <f>-499/1000</f>
        <v>-0.499</v>
      </c>
      <c r="T105" s="1062">
        <f>R105-S105</f>
        <v>0.378</v>
      </c>
      <c r="U105" s="95" t="s">
        <v>26</v>
      </c>
      <c r="V105" s="1074"/>
      <c r="W105" s="563" t="s">
        <v>195</v>
      </c>
      <c r="X105" s="654"/>
      <c r="Y105" s="418">
        <f>Y104-0.02</f>
        <v>0.91999999999999993</v>
      </c>
      <c r="Z105" s="138">
        <f>($Y105*E105)+SUM($AN$102:AN105)</f>
        <v>211.59</v>
      </c>
      <c r="AA105" s="38" t="s">
        <v>26</v>
      </c>
      <c r="AB105" s="418" t="s">
        <v>26</v>
      </c>
      <c r="AC105" s="38" t="s">
        <v>26</v>
      </c>
      <c r="AD105" s="38" t="s">
        <v>26</v>
      </c>
      <c r="AE105" s="514">
        <v>0.5</v>
      </c>
      <c r="AF105" s="79" t="s">
        <v>26</v>
      </c>
      <c r="AG105" s="79" t="s">
        <v>26</v>
      </c>
      <c r="AH105" s="79" t="s">
        <v>26</v>
      </c>
      <c r="AI105" s="79" t="s">
        <v>26</v>
      </c>
      <c r="AJ105" s="393" t="s">
        <v>26</v>
      </c>
      <c r="AK105" s="394" t="s">
        <v>26</v>
      </c>
      <c r="AL105" s="394" t="s">
        <v>26</v>
      </c>
      <c r="AM105" s="394" t="s">
        <v>26</v>
      </c>
      <c r="AN105" s="394">
        <f t="shared" si="18"/>
        <v>3.42</v>
      </c>
      <c r="AO105" s="532"/>
      <c r="AP105" s="532"/>
      <c r="AQ105" s="497"/>
      <c r="AR105" s="1047"/>
      <c r="AS105" s="821"/>
      <c r="AT105" s="30"/>
      <c r="AU105" s="31"/>
    </row>
    <row r="106" spans="1:47" ht="15" thickBot="1" x14ac:dyDescent="0.35">
      <c r="A106" s="1078"/>
      <c r="B106" s="305">
        <v>120</v>
      </c>
      <c r="C106" s="307">
        <v>7.49</v>
      </c>
      <c r="D106" s="307">
        <v>15.17</v>
      </c>
      <c r="E106" s="307">
        <f>18.9*5</f>
        <v>94.5</v>
      </c>
      <c r="F106" s="307">
        <f>22.7*5</f>
        <v>113.5</v>
      </c>
      <c r="G106" s="305">
        <f>317*5</f>
        <v>1585</v>
      </c>
      <c r="H106" s="306">
        <v>12.04</v>
      </c>
      <c r="I106" s="307">
        <v>26</v>
      </c>
      <c r="J106" s="307">
        <f>20.6*25</f>
        <v>515</v>
      </c>
      <c r="K106" s="308">
        <f>21*25</f>
        <v>525</v>
      </c>
      <c r="L106" s="1004">
        <v>17.399999999999999</v>
      </c>
      <c r="M106" s="307">
        <f>23*50</f>
        <v>1150</v>
      </c>
      <c r="N106" s="1007">
        <f>52.3*50</f>
        <v>2615</v>
      </c>
      <c r="O106" s="1067">
        <v>40.1</v>
      </c>
      <c r="P106" s="307">
        <v>0</v>
      </c>
      <c r="Q106" s="1007">
        <f>29.2*50</f>
        <v>1460</v>
      </c>
      <c r="R106" s="312" t="s">
        <v>26</v>
      </c>
      <c r="S106" s="307" t="s">
        <v>26</v>
      </c>
      <c r="T106" s="307">
        <v>0.4</v>
      </c>
      <c r="U106" s="1005">
        <f>3034.67/B106</f>
        <v>25.288916666666669</v>
      </c>
      <c r="V106" s="1085"/>
      <c r="W106" s="662" t="s">
        <v>86</v>
      </c>
      <c r="X106" s="766"/>
      <c r="Y106" s="417">
        <f>Y105</f>
        <v>0.91999999999999993</v>
      </c>
      <c r="Z106" s="307">
        <f>($Y106*E106)+SUM($AN$102:AN105)</f>
        <v>141.21</v>
      </c>
      <c r="AA106" s="307">
        <f>$Y106*F106+(0.02*F102)</f>
        <v>125.01999999999998</v>
      </c>
      <c r="AB106" s="417">
        <v>0.48</v>
      </c>
      <c r="AC106" s="307">
        <f>AB106*J106</f>
        <v>247.2</v>
      </c>
      <c r="AD106" s="586">
        <f>($AB106*K106)+(0.02*K102)</f>
        <v>252</v>
      </c>
      <c r="AE106" s="510">
        <v>0.5</v>
      </c>
      <c r="AF106" s="483">
        <f t="shared" ref="AF106:AG106" si="19">$AE106*M106</f>
        <v>575</v>
      </c>
      <c r="AG106" s="483">
        <f t="shared" si="19"/>
        <v>1307.5</v>
      </c>
      <c r="AH106" s="483">
        <f>$AE106*P106</f>
        <v>0</v>
      </c>
      <c r="AI106" s="483">
        <f>AE106*Q106</f>
        <v>730</v>
      </c>
      <c r="AJ106" s="387">
        <f>Z106+AC106+AF106+AH106</f>
        <v>963.41</v>
      </c>
      <c r="AK106" s="388">
        <f>AA106+AD106+AG106+AI106</f>
        <v>2414.52</v>
      </c>
      <c r="AL106" s="388">
        <f>AJ106-AJ102</f>
        <v>-29.090000000000146</v>
      </c>
      <c r="AM106" s="388">
        <f>AK106-AK102</f>
        <v>-15.480000000000018</v>
      </c>
      <c r="AN106" s="388" t="s">
        <v>26</v>
      </c>
      <c r="AO106" s="388">
        <f>(AF106)*10/100/(B106/24)</f>
        <v>11.5</v>
      </c>
      <c r="AP106" s="1006">
        <f>(AF106+AH106)/Z102</f>
        <v>0.579345088161209</v>
      </c>
      <c r="AQ106" s="388">
        <f>(Z102-Z106)*10/100/(B106/24)</f>
        <v>17.025800000000004</v>
      </c>
      <c r="AR106" s="1053">
        <f>(Z102-Z106)</f>
        <v>851.29000000000008</v>
      </c>
      <c r="AS106" s="820">
        <f>((AC106+AF106)-AC102)/Z102</f>
        <v>0.82841309823677578</v>
      </c>
      <c r="AT106" s="472">
        <f>AU106/10</f>
        <v>5.6340000000000001E-2</v>
      </c>
      <c r="AU106" s="900">
        <f>((G102+(1750/2.5*(3.5)))-G106)/(1000*(B106/24))</f>
        <v>0.56340000000000001</v>
      </c>
    </row>
    <row r="107" spans="1:47" ht="15" thickTop="1" x14ac:dyDescent="0.3"/>
  </sheetData>
  <mergeCells count="68">
    <mergeCell ref="A102:A106"/>
    <mergeCell ref="V102:V106"/>
    <mergeCell ref="A93:A97"/>
    <mergeCell ref="V93:V97"/>
    <mergeCell ref="A21:A23"/>
    <mergeCell ref="A24:A27"/>
    <mergeCell ref="A30:A33"/>
    <mergeCell ref="A34:A37"/>
    <mergeCell ref="V34:V37"/>
    <mergeCell ref="V30:V33"/>
    <mergeCell ref="V24:V27"/>
    <mergeCell ref="A54:A57"/>
    <mergeCell ref="V54:V57"/>
    <mergeCell ref="A38:A40"/>
    <mergeCell ref="A50:A53"/>
    <mergeCell ref="V50:V53"/>
    <mergeCell ref="A46:A49"/>
    <mergeCell ref="V46:V49"/>
    <mergeCell ref="A41:A45"/>
    <mergeCell ref="V41:V45"/>
    <mergeCell ref="V38:V40"/>
    <mergeCell ref="B11:B12"/>
    <mergeCell ref="C11:C12"/>
    <mergeCell ref="V14:V20"/>
    <mergeCell ref="H14:K14"/>
    <mergeCell ref="L14:N14"/>
    <mergeCell ref="O14:Q14"/>
    <mergeCell ref="L13:N13"/>
    <mergeCell ref="O13:Q13"/>
    <mergeCell ref="O10:Q10"/>
    <mergeCell ref="H11:H12"/>
    <mergeCell ref="A14:A20"/>
    <mergeCell ref="Y9:AR9"/>
    <mergeCell ref="R10:U10"/>
    <mergeCell ref="L10:N10"/>
    <mergeCell ref="AE10:AI10"/>
    <mergeCell ref="Y10:AA10"/>
    <mergeCell ref="H10:K10"/>
    <mergeCell ref="AB10:AD10"/>
    <mergeCell ref="W10:W12"/>
    <mergeCell ref="A10:B10"/>
    <mergeCell ref="H13:K13"/>
    <mergeCell ref="C10:G10"/>
    <mergeCell ref="A11:A12"/>
    <mergeCell ref="AJ10:AS10"/>
    <mergeCell ref="V77:V80"/>
    <mergeCell ref="A58:A61"/>
    <mergeCell ref="V58:V61"/>
    <mergeCell ref="A70:A74"/>
    <mergeCell ref="V70:V74"/>
    <mergeCell ref="A62:A65"/>
    <mergeCell ref="V62:V65"/>
    <mergeCell ref="A98:A101"/>
    <mergeCell ref="V98:V101"/>
    <mergeCell ref="K3:M4"/>
    <mergeCell ref="K6:M7"/>
    <mergeCell ref="AT9:AU10"/>
    <mergeCell ref="A89:A92"/>
    <mergeCell ref="V89:V92"/>
    <mergeCell ref="A77:A80"/>
    <mergeCell ref="A75:A76"/>
    <mergeCell ref="V75:V76"/>
    <mergeCell ref="A85:A88"/>
    <mergeCell ref="V85:V88"/>
    <mergeCell ref="A81:A84"/>
    <mergeCell ref="V81:V84"/>
    <mergeCell ref="A66:A69"/>
    <mergeCell ref="V66:V69"/>
  </mergeCells>
  <pageMargins left="0.7" right="0.7" top="0.75" bottom="0.75" header="0.3" footer="0.3"/>
  <pageSetup paperSize="9" scale="51"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6"/>
  <sheetViews>
    <sheetView topLeftCell="A41" zoomScale="115" zoomScaleNormal="115" workbookViewId="0">
      <selection activeCell="C92" sqref="C92"/>
    </sheetView>
  </sheetViews>
  <sheetFormatPr baseColWidth="10" defaultRowHeight="14.4" x14ac:dyDescent="0.3"/>
  <cols>
    <col min="8" max="8" width="12.88671875" customWidth="1"/>
    <col min="17" max="17" width="13.88671875" customWidth="1"/>
  </cols>
  <sheetData>
    <row r="1" spans="1:1" s="298" customFormat="1" x14ac:dyDescent="0.3">
      <c r="A1" s="297" t="s">
        <v>94</v>
      </c>
    </row>
    <row r="2" spans="1:1" x14ac:dyDescent="0.3">
      <c r="A2" t="s">
        <v>97</v>
      </c>
    </row>
    <row r="21" spans="1:15" s="297" customFormat="1" x14ac:dyDescent="0.3">
      <c r="A21" s="297" t="s">
        <v>118</v>
      </c>
    </row>
    <row r="22" spans="1:15" x14ac:dyDescent="0.3">
      <c r="H22" s="1" t="s">
        <v>122</v>
      </c>
      <c r="I22" s="1" t="s">
        <v>123</v>
      </c>
      <c r="J22" s="1" t="s">
        <v>123</v>
      </c>
    </row>
    <row r="23" spans="1:15" x14ac:dyDescent="0.3">
      <c r="H23" s="2"/>
      <c r="I23" s="966" t="s">
        <v>96</v>
      </c>
      <c r="J23" s="966" t="s">
        <v>95</v>
      </c>
      <c r="K23" s="2" t="s">
        <v>117</v>
      </c>
      <c r="M23" s="2"/>
      <c r="N23" s="2"/>
    </row>
    <row r="24" spans="1:15" x14ac:dyDescent="0.3">
      <c r="H24" s="573">
        <v>1</v>
      </c>
      <c r="I24" s="208">
        <v>0.27200000000000002</v>
      </c>
      <c r="J24" s="208">
        <v>0.161</v>
      </c>
      <c r="K24" s="208">
        <v>9</v>
      </c>
      <c r="L24" s="1183" t="s">
        <v>115</v>
      </c>
      <c r="M24" s="208"/>
      <c r="N24" s="208"/>
    </row>
    <row r="25" spans="1:15" x14ac:dyDescent="0.3">
      <c r="H25" s="573">
        <v>1</v>
      </c>
      <c r="I25" s="208">
        <v>0.245</v>
      </c>
      <c r="J25" s="208">
        <v>0.27800000000000002</v>
      </c>
      <c r="K25" s="208">
        <v>10</v>
      </c>
      <c r="L25" s="1183"/>
      <c r="M25" s="208"/>
      <c r="N25" s="208"/>
    </row>
    <row r="26" spans="1:15" x14ac:dyDescent="0.3">
      <c r="H26" s="573">
        <v>1</v>
      </c>
      <c r="I26" s="208">
        <v>0.247</v>
      </c>
      <c r="J26" s="208">
        <v>0.21100000000000002</v>
      </c>
      <c r="K26" s="208">
        <v>11</v>
      </c>
      <c r="L26" s="1183"/>
      <c r="M26" s="208"/>
      <c r="N26" s="208">
        <f>AVERAGE(I24:I28)</f>
        <v>0.25180000000000002</v>
      </c>
      <c r="O26" s="208">
        <f>AVERAGE(J24:J28)</f>
        <v>0.22480000000000003</v>
      </c>
    </row>
    <row r="27" spans="1:15" x14ac:dyDescent="0.3">
      <c r="H27" s="573">
        <v>1</v>
      </c>
      <c r="I27" s="208">
        <v>0.26200000000000001</v>
      </c>
      <c r="J27" s="208">
        <v>0.252</v>
      </c>
      <c r="K27" s="208">
        <v>12</v>
      </c>
      <c r="L27" s="1183"/>
      <c r="M27" s="208"/>
      <c r="N27" s="208"/>
    </row>
    <row r="28" spans="1:15" x14ac:dyDescent="0.3">
      <c r="H28" s="573">
        <v>1</v>
      </c>
      <c r="I28" s="208">
        <v>0.23300000000000001</v>
      </c>
      <c r="J28" s="208">
        <v>0.222</v>
      </c>
      <c r="K28" s="208">
        <v>16</v>
      </c>
      <c r="L28" s="1183"/>
      <c r="M28" s="208"/>
      <c r="N28" s="208"/>
    </row>
    <row r="29" spans="1:15" x14ac:dyDescent="0.3">
      <c r="H29" s="573">
        <v>1</v>
      </c>
      <c r="I29" s="208"/>
      <c r="J29" s="208"/>
      <c r="K29" s="208">
        <v>19</v>
      </c>
      <c r="L29" s="1183"/>
      <c r="M29" s="208"/>
      <c r="N29" s="208"/>
    </row>
    <row r="30" spans="1:15" x14ac:dyDescent="0.3">
      <c r="H30" s="573">
        <v>1</v>
      </c>
      <c r="I30" s="208">
        <v>0.251</v>
      </c>
      <c r="J30" s="208"/>
      <c r="K30" s="208">
        <v>20</v>
      </c>
      <c r="L30" s="1183"/>
      <c r="M30" s="208"/>
      <c r="N30" s="208"/>
    </row>
    <row r="31" spans="1:15" x14ac:dyDescent="0.3">
      <c r="H31" s="573">
        <v>1</v>
      </c>
      <c r="I31" s="208">
        <v>0.20100000000000001</v>
      </c>
      <c r="J31" s="208"/>
      <c r="K31" s="208">
        <v>21</v>
      </c>
      <c r="L31" s="1183"/>
      <c r="M31" s="208"/>
      <c r="N31" s="208"/>
    </row>
    <row r="32" spans="1:15" x14ac:dyDescent="0.3">
      <c r="H32" s="573">
        <v>1</v>
      </c>
      <c r="I32" s="208">
        <v>0.20599999999999999</v>
      </c>
      <c r="J32" s="208"/>
      <c r="K32" s="208">
        <v>22</v>
      </c>
      <c r="L32" s="1183"/>
      <c r="M32" s="208"/>
      <c r="N32" s="208"/>
    </row>
    <row r="33" spans="1:15" x14ac:dyDescent="0.3">
      <c r="H33" s="573">
        <v>2</v>
      </c>
      <c r="I33" s="208">
        <v>0.18899999999999997</v>
      </c>
      <c r="J33" s="208">
        <v>0.18100000000000002</v>
      </c>
      <c r="K33" s="208">
        <v>17</v>
      </c>
      <c r="L33" s="1184" t="s">
        <v>125</v>
      </c>
      <c r="M33" s="2"/>
      <c r="N33" s="2">
        <f>AVERAGE(I33:I34)</f>
        <v>0.19500000000000001</v>
      </c>
      <c r="O33" s="2">
        <f>AVERAGE(J33:J34)</f>
        <v>0.18049999999999999</v>
      </c>
    </row>
    <row r="34" spans="1:15" x14ac:dyDescent="0.3">
      <c r="H34" s="573">
        <v>2</v>
      </c>
      <c r="I34" s="208">
        <v>0.20100000000000001</v>
      </c>
      <c r="J34" s="607">
        <v>0.18</v>
      </c>
      <c r="K34" s="208">
        <v>18</v>
      </c>
      <c r="L34" s="1184"/>
      <c r="N34" s="608">
        <f>(N26-N33)/N26</f>
        <v>0.22557585385226375</v>
      </c>
      <c r="O34" s="608">
        <f>(O26-O33)/O26</f>
        <v>0.19706405693950191</v>
      </c>
    </row>
    <row r="35" spans="1:15" x14ac:dyDescent="0.3">
      <c r="H35" s="208">
        <v>3</v>
      </c>
      <c r="I35" s="208"/>
      <c r="J35" s="208">
        <v>0.122</v>
      </c>
      <c r="K35" s="208">
        <v>13</v>
      </c>
      <c r="L35" s="1184" t="s">
        <v>116</v>
      </c>
      <c r="N35" s="575"/>
    </row>
    <row r="36" spans="1:15" x14ac:dyDescent="0.3">
      <c r="H36" s="208">
        <v>3</v>
      </c>
      <c r="I36" s="575">
        <v>0.17</v>
      </c>
      <c r="J36" s="208">
        <v>0.14699999999999999</v>
      </c>
      <c r="K36" s="208">
        <v>14</v>
      </c>
      <c r="L36" s="1184"/>
      <c r="M36" s="2"/>
      <c r="N36" s="2"/>
    </row>
    <row r="37" spans="1:15" x14ac:dyDescent="0.3">
      <c r="H37" s="573">
        <v>4</v>
      </c>
      <c r="I37" s="573">
        <v>0</v>
      </c>
      <c r="J37" s="573">
        <v>0</v>
      </c>
      <c r="K37" s="208">
        <v>15</v>
      </c>
      <c r="L37" s="2" t="s">
        <v>121</v>
      </c>
      <c r="M37" s="208"/>
      <c r="N37" s="208"/>
    </row>
    <row r="38" spans="1:15" x14ac:dyDescent="0.3">
      <c r="M38" s="575"/>
      <c r="N38" s="208"/>
    </row>
    <row r="44" spans="1:15" s="297" customFormat="1" x14ac:dyDescent="0.3">
      <c r="A44" s="297" t="s">
        <v>119</v>
      </c>
    </row>
    <row r="45" spans="1:15" x14ac:dyDescent="0.3">
      <c r="H45" s="1" t="s">
        <v>122</v>
      </c>
      <c r="I45" s="1" t="s">
        <v>124</v>
      </c>
      <c r="J45" s="1" t="s">
        <v>124</v>
      </c>
    </row>
    <row r="46" spans="1:15" x14ac:dyDescent="0.3">
      <c r="H46" s="2"/>
      <c r="I46" s="966" t="s">
        <v>96</v>
      </c>
      <c r="J46" s="966" t="s">
        <v>95</v>
      </c>
      <c r="K46" s="2" t="s">
        <v>117</v>
      </c>
    </row>
    <row r="47" spans="1:15" x14ac:dyDescent="0.3">
      <c r="H47" s="573">
        <v>1</v>
      </c>
      <c r="I47" s="208">
        <v>17.239999999999998</v>
      </c>
      <c r="J47" s="208">
        <v>15.52</v>
      </c>
      <c r="K47" s="208">
        <v>9</v>
      </c>
      <c r="L47" s="1183" t="s">
        <v>115</v>
      </c>
    </row>
    <row r="48" spans="1:15" x14ac:dyDescent="0.3">
      <c r="H48" s="573">
        <v>1</v>
      </c>
      <c r="I48" s="208">
        <v>18.12</v>
      </c>
      <c r="J48" s="208">
        <v>19.12</v>
      </c>
      <c r="K48" s="208">
        <v>10</v>
      </c>
      <c r="L48" s="1183"/>
    </row>
    <row r="49" spans="8:16" x14ac:dyDescent="0.3">
      <c r="H49" s="573">
        <v>1</v>
      </c>
      <c r="I49" s="208">
        <v>16.27</v>
      </c>
      <c r="J49" s="208">
        <v>16.329999999999998</v>
      </c>
      <c r="K49" s="208">
        <v>11</v>
      </c>
      <c r="L49" s="1183"/>
      <c r="N49" s="208">
        <f>AVERAGE(I47:I51)</f>
        <v>16.634999999999998</v>
      </c>
      <c r="O49" s="208">
        <f>AVERAGE(J47:J51)</f>
        <v>16.36</v>
      </c>
    </row>
    <row r="50" spans="8:16" x14ac:dyDescent="0.3">
      <c r="H50" s="573">
        <v>1</v>
      </c>
      <c r="I50" s="208">
        <v>14.91</v>
      </c>
      <c r="J50" s="208">
        <v>15.74</v>
      </c>
      <c r="K50" s="208">
        <v>12</v>
      </c>
      <c r="L50" s="1183"/>
      <c r="N50" s="208"/>
      <c r="P50" s="538"/>
    </row>
    <row r="51" spans="8:16" x14ac:dyDescent="0.3">
      <c r="H51" s="573">
        <v>1</v>
      </c>
      <c r="I51" s="208"/>
      <c r="J51" s="208">
        <v>15.09</v>
      </c>
      <c r="K51" s="208">
        <v>16</v>
      </c>
      <c r="L51" s="1183"/>
      <c r="N51" s="208"/>
      <c r="P51" s="538"/>
    </row>
    <row r="52" spans="8:16" x14ac:dyDescent="0.3">
      <c r="H52" s="573">
        <v>1</v>
      </c>
      <c r="I52" s="208">
        <v>14.3</v>
      </c>
      <c r="J52" s="208">
        <v>15.93</v>
      </c>
      <c r="K52" s="208">
        <v>19</v>
      </c>
      <c r="L52" s="1183"/>
      <c r="N52" s="208"/>
      <c r="P52" s="538"/>
    </row>
    <row r="53" spans="8:16" x14ac:dyDescent="0.3">
      <c r="H53" s="573">
        <v>1</v>
      </c>
      <c r="I53" s="208"/>
      <c r="J53" s="208"/>
      <c r="K53" s="208">
        <v>20</v>
      </c>
      <c r="L53" s="1183"/>
      <c r="N53" s="208"/>
      <c r="P53" s="538"/>
    </row>
    <row r="54" spans="8:16" x14ac:dyDescent="0.3">
      <c r="H54" s="573">
        <v>1</v>
      </c>
      <c r="I54" s="208">
        <v>15.85</v>
      </c>
      <c r="J54" s="208"/>
      <c r="K54" s="208">
        <v>21</v>
      </c>
      <c r="L54" s="1183"/>
      <c r="N54" s="208"/>
      <c r="P54" s="538"/>
    </row>
    <row r="55" spans="8:16" x14ac:dyDescent="0.3">
      <c r="H55" s="573">
        <v>1</v>
      </c>
      <c r="I55" s="208">
        <v>17.29</v>
      </c>
      <c r="J55" s="208">
        <v>16.059999999999999</v>
      </c>
      <c r="K55" s="208">
        <v>22</v>
      </c>
      <c r="L55" s="1183"/>
      <c r="N55" s="208"/>
      <c r="P55" s="538"/>
    </row>
    <row r="56" spans="8:16" x14ac:dyDescent="0.3">
      <c r="H56" s="573">
        <v>2</v>
      </c>
      <c r="I56" s="208">
        <v>12.2</v>
      </c>
      <c r="J56" s="208">
        <v>11.08</v>
      </c>
      <c r="K56" s="208">
        <v>17</v>
      </c>
      <c r="L56" s="1184" t="s">
        <v>125</v>
      </c>
      <c r="N56" s="2">
        <f>AVERAGE(I56:I57)</f>
        <v>12.2</v>
      </c>
      <c r="O56" s="2">
        <f>AVERAGE(J56:J57)</f>
        <v>12.474897526501767</v>
      </c>
      <c r="P56" s="538"/>
    </row>
    <row r="57" spans="8:16" x14ac:dyDescent="0.3">
      <c r="H57" s="573">
        <v>2</v>
      </c>
      <c r="I57" s="208"/>
      <c r="J57" s="575">
        <v>13.869795053003534</v>
      </c>
      <c r="K57" s="208">
        <v>18</v>
      </c>
      <c r="L57" s="1184"/>
      <c r="N57" s="608">
        <f>(N49-N56)/N49</f>
        <v>0.26660655244965431</v>
      </c>
      <c r="O57" s="608">
        <f>(O49-O56)/O49</f>
        <v>0.23747570131407289</v>
      </c>
      <c r="P57" s="538"/>
    </row>
    <row r="58" spans="8:16" x14ac:dyDescent="0.3">
      <c r="H58" s="208">
        <v>3</v>
      </c>
      <c r="I58" s="208"/>
      <c r="J58" s="208">
        <v>13.73</v>
      </c>
      <c r="K58" s="208">
        <v>13</v>
      </c>
      <c r="L58" s="1184" t="s">
        <v>116</v>
      </c>
      <c r="P58" s="538"/>
    </row>
    <row r="59" spans="8:16" x14ac:dyDescent="0.3">
      <c r="H59" s="208">
        <v>3</v>
      </c>
      <c r="I59" s="575">
        <v>13.7</v>
      </c>
      <c r="J59" s="208"/>
      <c r="K59" s="208">
        <v>14</v>
      </c>
      <c r="L59" s="1184"/>
      <c r="P59" s="538"/>
    </row>
    <row r="60" spans="8:16" x14ac:dyDescent="0.3">
      <c r="H60" s="573">
        <v>4</v>
      </c>
      <c r="I60" s="208">
        <v>9.6999999999999993</v>
      </c>
      <c r="J60" s="208">
        <v>7.28</v>
      </c>
      <c r="K60" s="208">
        <v>15</v>
      </c>
      <c r="L60" s="2" t="s">
        <v>121</v>
      </c>
      <c r="P60" s="538"/>
    </row>
    <row r="61" spans="8:16" x14ac:dyDescent="0.3">
      <c r="P61" s="538"/>
    </row>
    <row r="62" spans="8:16" x14ac:dyDescent="0.3">
      <c r="I62" s="2"/>
      <c r="J62" s="2"/>
      <c r="K62" s="2"/>
      <c r="P62" s="538"/>
    </row>
    <row r="67" spans="1:14" s="297" customFormat="1" x14ac:dyDescent="0.3">
      <c r="A67" s="297" t="s">
        <v>120</v>
      </c>
    </row>
    <row r="68" spans="1:14" x14ac:dyDescent="0.3">
      <c r="H68" s="1" t="s">
        <v>122</v>
      </c>
      <c r="I68" s="1" t="s">
        <v>124</v>
      </c>
      <c r="J68" s="1" t="s">
        <v>124</v>
      </c>
    </row>
    <row r="69" spans="1:14" x14ac:dyDescent="0.3">
      <c r="H69" s="2"/>
      <c r="I69" s="966" t="s">
        <v>96</v>
      </c>
      <c r="J69" s="966" t="s">
        <v>95</v>
      </c>
      <c r="K69" s="2" t="s">
        <v>117</v>
      </c>
    </row>
    <row r="70" spans="1:14" x14ac:dyDescent="0.3">
      <c r="H70" s="573">
        <v>1</v>
      </c>
      <c r="I70" s="208">
        <v>12.8</v>
      </c>
      <c r="J70" s="208"/>
      <c r="K70" s="208">
        <v>9</v>
      </c>
      <c r="L70" s="1183" t="s">
        <v>115</v>
      </c>
      <c r="N70" s="965"/>
    </row>
    <row r="71" spans="1:14" x14ac:dyDescent="0.3">
      <c r="H71" s="573">
        <v>1</v>
      </c>
      <c r="I71" s="208">
        <v>7.9</v>
      </c>
      <c r="J71" s="208">
        <v>10</v>
      </c>
      <c r="K71" s="208">
        <v>10</v>
      </c>
      <c r="L71" s="1183"/>
      <c r="N71" s="965"/>
    </row>
    <row r="72" spans="1:14" x14ac:dyDescent="0.3">
      <c r="H72" s="573">
        <v>1</v>
      </c>
      <c r="I72" s="208">
        <v>9.6</v>
      </c>
      <c r="J72" s="208">
        <v>8.9</v>
      </c>
      <c r="K72" s="208">
        <v>11</v>
      </c>
      <c r="L72" s="1183"/>
      <c r="N72" s="965"/>
    </row>
    <row r="73" spans="1:14" x14ac:dyDescent="0.3">
      <c r="H73" s="573">
        <v>1</v>
      </c>
      <c r="I73" s="575">
        <v>9</v>
      </c>
      <c r="J73" s="208">
        <v>8.9</v>
      </c>
      <c r="K73" s="208">
        <v>12</v>
      </c>
      <c r="L73" s="1183"/>
      <c r="N73" s="965"/>
    </row>
    <row r="74" spans="1:14" x14ac:dyDescent="0.3">
      <c r="H74" s="573">
        <v>1</v>
      </c>
      <c r="I74" s="208">
        <v>7.2</v>
      </c>
      <c r="J74" s="208">
        <v>7.6</v>
      </c>
      <c r="K74" s="208">
        <v>16</v>
      </c>
      <c r="L74" s="1183"/>
      <c r="N74" s="965"/>
    </row>
    <row r="75" spans="1:14" x14ac:dyDescent="0.3">
      <c r="H75" s="573">
        <v>1</v>
      </c>
      <c r="I75" s="208">
        <v>7.8</v>
      </c>
      <c r="J75" s="208">
        <v>8.1999999999999993</v>
      </c>
      <c r="K75" s="208">
        <v>19</v>
      </c>
      <c r="L75" s="1183"/>
      <c r="N75" s="965"/>
    </row>
    <row r="76" spans="1:14" x14ac:dyDescent="0.3">
      <c r="H76" s="573">
        <v>1</v>
      </c>
      <c r="I76" s="208">
        <v>8.3000000000000007</v>
      </c>
      <c r="J76" s="208"/>
      <c r="K76" s="208">
        <v>20</v>
      </c>
      <c r="L76" s="1183"/>
      <c r="N76" s="965"/>
    </row>
    <row r="77" spans="1:14" x14ac:dyDescent="0.3">
      <c r="H77" s="573">
        <v>1</v>
      </c>
      <c r="I77" s="208">
        <v>7.6</v>
      </c>
      <c r="J77" s="208"/>
      <c r="K77" s="208">
        <v>21</v>
      </c>
      <c r="L77" s="1183"/>
      <c r="N77" s="965"/>
    </row>
    <row r="78" spans="1:14" x14ac:dyDescent="0.3">
      <c r="H78" s="573">
        <v>1</v>
      </c>
      <c r="I78" s="208">
        <v>10.6</v>
      </c>
      <c r="J78" s="208">
        <v>9.6</v>
      </c>
      <c r="K78" s="208">
        <v>22</v>
      </c>
      <c r="L78" s="1183"/>
      <c r="N78" s="965"/>
    </row>
    <row r="79" spans="1:14" x14ac:dyDescent="0.3">
      <c r="H79" s="573">
        <v>2</v>
      </c>
      <c r="I79" s="208">
        <v>6.7</v>
      </c>
      <c r="J79" s="208">
        <v>6.3</v>
      </c>
      <c r="K79" s="208">
        <v>17</v>
      </c>
      <c r="L79" s="1184" t="s">
        <v>125</v>
      </c>
      <c r="N79" s="965"/>
    </row>
    <row r="80" spans="1:14" x14ac:dyDescent="0.3">
      <c r="H80" s="573">
        <v>2</v>
      </c>
      <c r="I80" s="208">
        <v>6.1</v>
      </c>
      <c r="J80" s="575">
        <v>4.9000000000000004</v>
      </c>
      <c r="K80" s="208">
        <v>18</v>
      </c>
      <c r="L80" s="1184"/>
      <c r="N80" s="965"/>
    </row>
    <row r="81" spans="8:14" x14ac:dyDescent="0.3">
      <c r="H81" s="208">
        <v>3</v>
      </c>
      <c r="I81" s="208"/>
      <c r="J81" s="208">
        <v>6.5</v>
      </c>
      <c r="K81" s="208">
        <v>13</v>
      </c>
      <c r="L81" s="1184" t="s">
        <v>116</v>
      </c>
      <c r="N81" s="965"/>
    </row>
    <row r="82" spans="8:14" x14ac:dyDescent="0.3">
      <c r="H82" s="208">
        <v>3</v>
      </c>
      <c r="I82" s="575">
        <v>7</v>
      </c>
      <c r="J82" s="208">
        <v>6.6</v>
      </c>
      <c r="K82" s="208">
        <v>14</v>
      </c>
      <c r="L82" s="1184"/>
      <c r="N82" s="965"/>
    </row>
    <row r="83" spans="8:14" x14ac:dyDescent="0.3">
      <c r="H83" s="573">
        <v>4</v>
      </c>
      <c r="I83" s="575">
        <v>1</v>
      </c>
      <c r="J83" s="208">
        <v>0.9</v>
      </c>
      <c r="K83" s="208">
        <v>15</v>
      </c>
      <c r="L83" s="2" t="s">
        <v>121</v>
      </c>
    </row>
    <row r="85" spans="8:14" x14ac:dyDescent="0.3">
      <c r="H85" s="2"/>
      <c r="I85" s="2"/>
      <c r="J85" s="2"/>
      <c r="K85" s="2"/>
    </row>
    <row r="86" spans="8:14" x14ac:dyDescent="0.3">
      <c r="H86" s="2"/>
      <c r="I86" s="2"/>
      <c r="J86" s="2"/>
      <c r="K86" s="2"/>
    </row>
  </sheetData>
  <mergeCells count="9">
    <mergeCell ref="L24:L32"/>
    <mergeCell ref="L81:L82"/>
    <mergeCell ref="L56:L57"/>
    <mergeCell ref="L58:L59"/>
    <mergeCell ref="L33:L34"/>
    <mergeCell ref="L35:L36"/>
    <mergeCell ref="L79:L80"/>
    <mergeCell ref="L70:L78"/>
    <mergeCell ref="L47:L55"/>
  </mergeCells>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6"/>
  <sheetViews>
    <sheetView tabSelected="1" workbookViewId="0">
      <selection activeCell="L18" sqref="L18"/>
    </sheetView>
  </sheetViews>
  <sheetFormatPr baseColWidth="10" defaultRowHeight="14.4" x14ac:dyDescent="0.3"/>
  <cols>
    <col min="3" max="3" width="18.33203125" customWidth="1"/>
    <col min="4" max="4" width="20.109375" customWidth="1"/>
    <col min="5" max="5" width="20.44140625" customWidth="1"/>
  </cols>
  <sheetData>
    <row r="1" spans="1:12" ht="28.8" x14ac:dyDescent="0.3">
      <c r="A1" s="843" t="s">
        <v>143</v>
      </c>
      <c r="B1" s="843" t="s">
        <v>144</v>
      </c>
      <c r="C1" s="843" t="s">
        <v>72</v>
      </c>
      <c r="D1" s="843" t="s">
        <v>71</v>
      </c>
      <c r="E1" s="843" t="s">
        <v>148</v>
      </c>
      <c r="F1" s="843" t="s">
        <v>145</v>
      </c>
      <c r="G1" s="843" t="s">
        <v>146</v>
      </c>
      <c r="H1" s="843" t="s">
        <v>142</v>
      </c>
      <c r="I1" s="843" t="s">
        <v>147</v>
      </c>
      <c r="J1" s="843" t="s">
        <v>159</v>
      </c>
      <c r="K1" s="843" t="s">
        <v>160</v>
      </c>
      <c r="L1" s="843" t="s">
        <v>161</v>
      </c>
    </row>
    <row r="2" spans="1:12" ht="67.5" customHeight="1" x14ac:dyDescent="0.3">
      <c r="A2" s="961" t="s">
        <v>149</v>
      </c>
      <c r="B2" s="844" t="s">
        <v>154</v>
      </c>
      <c r="C2" s="844" t="s">
        <v>155</v>
      </c>
      <c r="D2" s="844" t="s">
        <v>157</v>
      </c>
      <c r="E2" s="844" t="s">
        <v>156</v>
      </c>
      <c r="F2" s="844" t="s">
        <v>128</v>
      </c>
      <c r="G2" s="844" t="s">
        <v>158</v>
      </c>
      <c r="H2" s="845">
        <v>0.78</v>
      </c>
      <c r="I2" s="845">
        <v>0.6</v>
      </c>
      <c r="J2" s="845">
        <v>0.8</v>
      </c>
      <c r="K2" s="846">
        <v>1.05</v>
      </c>
      <c r="L2" s="138">
        <v>27.2</v>
      </c>
    </row>
    <row r="3" spans="1:12" ht="57.6" x14ac:dyDescent="0.3">
      <c r="A3" s="1185" t="s">
        <v>150</v>
      </c>
      <c r="B3" s="844" t="s">
        <v>154</v>
      </c>
      <c r="C3" s="844" t="s">
        <v>155</v>
      </c>
      <c r="D3" s="844" t="s">
        <v>157</v>
      </c>
      <c r="E3" s="844" t="s">
        <v>156</v>
      </c>
      <c r="F3" s="844" t="s">
        <v>128</v>
      </c>
      <c r="G3" s="844" t="s">
        <v>158</v>
      </c>
      <c r="H3" s="845">
        <v>0.77</v>
      </c>
      <c r="I3" s="845">
        <v>0.43</v>
      </c>
      <c r="J3" s="845">
        <v>0.69</v>
      </c>
      <c r="K3" s="844">
        <v>0.83</v>
      </c>
      <c r="L3" s="138">
        <v>24.5</v>
      </c>
    </row>
    <row r="4" spans="1:12" ht="57.6" x14ac:dyDescent="0.3">
      <c r="A4" s="1186"/>
      <c r="B4" s="844" t="s">
        <v>95</v>
      </c>
      <c r="C4" s="844" t="s">
        <v>155</v>
      </c>
      <c r="D4" s="844" t="s">
        <v>157</v>
      </c>
      <c r="E4" s="844" t="s">
        <v>156</v>
      </c>
      <c r="F4" s="844" t="s">
        <v>128</v>
      </c>
      <c r="G4" s="844" t="s">
        <v>158</v>
      </c>
      <c r="H4" s="845">
        <v>0.81</v>
      </c>
      <c r="I4" s="845">
        <v>0.55000000000000004</v>
      </c>
      <c r="J4" s="845">
        <v>0.83</v>
      </c>
      <c r="K4" s="844">
        <v>0.91</v>
      </c>
      <c r="L4" s="138">
        <v>27.8</v>
      </c>
    </row>
    <row r="5" spans="1:12" ht="57.6" x14ac:dyDescent="0.3">
      <c r="A5" s="1185" t="s">
        <v>151</v>
      </c>
      <c r="B5" s="844" t="s">
        <v>154</v>
      </c>
      <c r="C5" s="844" t="s">
        <v>163</v>
      </c>
      <c r="D5" s="844" t="s">
        <v>157</v>
      </c>
      <c r="E5" s="844" t="s">
        <v>156</v>
      </c>
      <c r="F5" s="844" t="s">
        <v>128</v>
      </c>
      <c r="G5" s="844" t="s">
        <v>158</v>
      </c>
      <c r="H5" s="845">
        <v>0.75</v>
      </c>
      <c r="I5" s="845">
        <v>0.46</v>
      </c>
      <c r="J5" s="847">
        <v>0.8</v>
      </c>
      <c r="K5" s="1187" t="s">
        <v>162</v>
      </c>
      <c r="L5" s="113">
        <v>24.7</v>
      </c>
    </row>
    <row r="6" spans="1:12" ht="57.6" x14ac:dyDescent="0.3">
      <c r="A6" s="1186"/>
      <c r="B6" s="844" t="s">
        <v>95</v>
      </c>
      <c r="C6" s="844" t="s">
        <v>163</v>
      </c>
      <c r="D6" s="844" t="s">
        <v>157</v>
      </c>
      <c r="E6" s="844" t="s">
        <v>156</v>
      </c>
      <c r="F6" s="844" t="s">
        <v>128</v>
      </c>
      <c r="G6" s="844" t="s">
        <v>158</v>
      </c>
      <c r="H6" s="845">
        <v>0.69</v>
      </c>
      <c r="I6" s="845">
        <v>0.38</v>
      </c>
      <c r="J6" s="847">
        <v>0.65</v>
      </c>
      <c r="K6" s="1187"/>
      <c r="L6" s="113">
        <v>21.1</v>
      </c>
    </row>
    <row r="7" spans="1:12" ht="57.6" x14ac:dyDescent="0.3">
      <c r="A7" s="1185" t="s">
        <v>152</v>
      </c>
      <c r="B7" s="844" t="s">
        <v>154</v>
      </c>
      <c r="C7" s="844" t="s">
        <v>163</v>
      </c>
      <c r="D7" s="844" t="s">
        <v>157</v>
      </c>
      <c r="E7" s="844" t="s">
        <v>156</v>
      </c>
      <c r="F7" s="844" t="s">
        <v>128</v>
      </c>
      <c r="G7" s="844" t="s">
        <v>158</v>
      </c>
      <c r="H7" s="845">
        <v>0.71</v>
      </c>
      <c r="I7" s="845">
        <v>0.45</v>
      </c>
      <c r="J7" s="913">
        <v>0.73</v>
      </c>
      <c r="K7" s="1187"/>
      <c r="L7" s="113">
        <v>26.2</v>
      </c>
    </row>
    <row r="8" spans="1:12" ht="57.6" x14ac:dyDescent="0.3">
      <c r="A8" s="1186"/>
      <c r="B8" s="844" t="s">
        <v>95</v>
      </c>
      <c r="C8" s="844" t="s">
        <v>163</v>
      </c>
      <c r="D8" s="844" t="s">
        <v>157</v>
      </c>
      <c r="E8" s="844" t="s">
        <v>156</v>
      </c>
      <c r="F8" s="844" t="s">
        <v>128</v>
      </c>
      <c r="G8" s="844" t="s">
        <v>158</v>
      </c>
      <c r="H8" s="845">
        <v>0.76</v>
      </c>
      <c r="I8" s="845">
        <v>0.44</v>
      </c>
      <c r="J8" s="913">
        <v>0.77</v>
      </c>
      <c r="K8" s="1187"/>
      <c r="L8" s="113">
        <v>25.2</v>
      </c>
    </row>
    <row r="9" spans="1:12" ht="57.6" x14ac:dyDescent="0.3">
      <c r="A9" s="1185" t="s">
        <v>169</v>
      </c>
      <c r="B9" s="844" t="s">
        <v>154</v>
      </c>
      <c r="C9" s="844" t="s">
        <v>163</v>
      </c>
      <c r="D9" s="844" t="s">
        <v>157</v>
      </c>
      <c r="E9" s="844" t="s">
        <v>170</v>
      </c>
      <c r="F9" s="844" t="s">
        <v>128</v>
      </c>
      <c r="G9" s="844" t="s">
        <v>158</v>
      </c>
      <c r="H9" s="845">
        <v>0.76</v>
      </c>
      <c r="I9" s="845">
        <v>0.4</v>
      </c>
      <c r="J9" s="913">
        <v>0.71</v>
      </c>
      <c r="K9" s="1187"/>
      <c r="L9" s="113">
        <v>23.3</v>
      </c>
    </row>
    <row r="10" spans="1:12" ht="57.6" x14ac:dyDescent="0.3">
      <c r="A10" s="1186"/>
      <c r="B10" s="844" t="s">
        <v>95</v>
      </c>
      <c r="C10" s="844" t="s">
        <v>163</v>
      </c>
      <c r="D10" s="844" t="s">
        <v>157</v>
      </c>
      <c r="E10" s="844" t="s">
        <v>170</v>
      </c>
      <c r="F10" s="844" t="s">
        <v>128</v>
      </c>
      <c r="G10" s="844" t="s">
        <v>158</v>
      </c>
      <c r="H10" s="845">
        <v>0.72</v>
      </c>
      <c r="I10" s="845">
        <v>0.37</v>
      </c>
      <c r="J10" s="913">
        <v>0.64</v>
      </c>
      <c r="K10" s="1187"/>
      <c r="L10" s="113">
        <v>22.2</v>
      </c>
    </row>
    <row r="11" spans="1:12" ht="57.6" x14ac:dyDescent="0.3">
      <c r="A11" s="1185" t="s">
        <v>180</v>
      </c>
      <c r="B11" s="844" t="s">
        <v>154</v>
      </c>
      <c r="C11" s="844" t="s">
        <v>178</v>
      </c>
      <c r="D11" s="844" t="s">
        <v>157</v>
      </c>
      <c r="E11" s="844" t="s">
        <v>179</v>
      </c>
      <c r="F11" s="844" t="s">
        <v>128</v>
      </c>
      <c r="G11" s="844" t="s">
        <v>158</v>
      </c>
      <c r="H11" s="845">
        <v>0.73</v>
      </c>
      <c r="I11" s="845">
        <v>0.4</v>
      </c>
      <c r="J11" s="913">
        <v>0.67</v>
      </c>
      <c r="K11" s="1187"/>
      <c r="L11" s="113">
        <v>16.7</v>
      </c>
    </row>
    <row r="12" spans="1:12" ht="57.6" x14ac:dyDescent="0.3">
      <c r="A12" s="1186"/>
      <c r="B12" s="844" t="s">
        <v>95</v>
      </c>
      <c r="C12" s="844" t="s">
        <v>178</v>
      </c>
      <c r="D12" s="844" t="s">
        <v>157</v>
      </c>
      <c r="E12" s="844" t="s">
        <v>179</v>
      </c>
      <c r="F12" s="844" t="s">
        <v>128</v>
      </c>
      <c r="G12" s="844" t="s">
        <v>158</v>
      </c>
      <c r="H12" s="845">
        <v>0.68</v>
      </c>
      <c r="I12" s="845">
        <v>0.35</v>
      </c>
      <c r="J12" s="913">
        <v>0.53</v>
      </c>
      <c r="K12" s="1187"/>
      <c r="L12" s="113">
        <v>16</v>
      </c>
    </row>
    <row r="13" spans="1:12" ht="57.6" x14ac:dyDescent="0.3">
      <c r="A13" s="1185" t="s">
        <v>177</v>
      </c>
      <c r="B13" s="844" t="s">
        <v>154</v>
      </c>
      <c r="C13" s="844" t="s">
        <v>181</v>
      </c>
      <c r="D13" s="844" t="s">
        <v>157</v>
      </c>
      <c r="E13" s="844" t="s">
        <v>182</v>
      </c>
      <c r="F13" s="844" t="s">
        <v>128</v>
      </c>
      <c r="G13" s="844" t="s">
        <v>158</v>
      </c>
      <c r="H13" s="845">
        <v>0.62</v>
      </c>
      <c r="I13" s="845">
        <v>0.4</v>
      </c>
      <c r="J13" s="958">
        <v>0.96</v>
      </c>
      <c r="K13" s="959">
        <v>0.76</v>
      </c>
      <c r="L13" s="113">
        <v>25.15</v>
      </c>
    </row>
    <row r="14" spans="1:12" ht="57.6" x14ac:dyDescent="0.3">
      <c r="A14" s="1186"/>
      <c r="B14" s="844" t="s">
        <v>95</v>
      </c>
      <c r="C14" s="844" t="s">
        <v>181</v>
      </c>
      <c r="D14" s="844" t="s">
        <v>157</v>
      </c>
      <c r="E14" s="844" t="s">
        <v>182</v>
      </c>
      <c r="F14" s="844" t="s">
        <v>128</v>
      </c>
      <c r="G14" s="844" t="s">
        <v>158</v>
      </c>
      <c r="H14" s="845">
        <v>0.49</v>
      </c>
      <c r="I14" s="845">
        <v>0.33</v>
      </c>
      <c r="J14" s="958">
        <v>0.87</v>
      </c>
      <c r="K14" s="959">
        <v>0.63</v>
      </c>
      <c r="L14" s="113">
        <v>19.899999999999999</v>
      </c>
    </row>
    <row r="15" spans="1:12" ht="57.6" x14ac:dyDescent="0.3">
      <c r="A15" s="962" t="s">
        <v>183</v>
      </c>
      <c r="B15" s="844" t="s">
        <v>154</v>
      </c>
      <c r="C15" s="844" t="s">
        <v>155</v>
      </c>
      <c r="D15" s="844" t="s">
        <v>185</v>
      </c>
      <c r="E15" s="844" t="s">
        <v>182</v>
      </c>
      <c r="F15" s="844" t="s">
        <v>128</v>
      </c>
      <c r="G15" s="844" t="s">
        <v>158</v>
      </c>
      <c r="H15" s="845">
        <v>0.76</v>
      </c>
      <c r="I15" s="845">
        <v>0.36</v>
      </c>
      <c r="J15" s="913">
        <v>0.61</v>
      </c>
      <c r="K15" s="1188" t="s">
        <v>162</v>
      </c>
      <c r="L15" s="113">
        <v>20.09</v>
      </c>
    </row>
    <row r="16" spans="1:12" ht="72" x14ac:dyDescent="0.3">
      <c r="A16" s="1185" t="s">
        <v>184</v>
      </c>
      <c r="B16" s="844" t="s">
        <v>154</v>
      </c>
      <c r="C16" s="844" t="s">
        <v>186</v>
      </c>
      <c r="D16" s="844" t="s">
        <v>187</v>
      </c>
      <c r="E16" s="844" t="s">
        <v>182</v>
      </c>
      <c r="F16" s="844" t="s">
        <v>128</v>
      </c>
      <c r="G16" s="844" t="s">
        <v>158</v>
      </c>
      <c r="H16" s="845">
        <v>0.81</v>
      </c>
      <c r="I16" s="845">
        <v>0.5</v>
      </c>
      <c r="J16" s="913">
        <v>0.72</v>
      </c>
      <c r="K16" s="1189"/>
      <c r="L16" s="113">
        <v>20.63</v>
      </c>
    </row>
    <row r="17" spans="1:12" ht="72" x14ac:dyDescent="0.3">
      <c r="A17" s="1186"/>
      <c r="B17" s="844" t="s">
        <v>95</v>
      </c>
      <c r="C17" s="844" t="s">
        <v>186</v>
      </c>
      <c r="D17" s="844" t="s">
        <v>187</v>
      </c>
      <c r="E17" s="844" t="s">
        <v>182</v>
      </c>
      <c r="F17" s="844" t="s">
        <v>128</v>
      </c>
      <c r="G17" s="844" t="s">
        <v>158</v>
      </c>
      <c r="H17" s="845">
        <v>0.77</v>
      </c>
      <c r="I17" s="845">
        <v>0.46</v>
      </c>
      <c r="J17" s="913">
        <v>0.67</v>
      </c>
      <c r="K17" s="1189"/>
      <c r="L17" s="113">
        <v>15.1</v>
      </c>
    </row>
    <row r="18" spans="1:12" ht="57.6" x14ac:dyDescent="0.3">
      <c r="A18" s="1197" t="s">
        <v>171</v>
      </c>
      <c r="B18" s="844" t="s">
        <v>154</v>
      </c>
      <c r="C18" s="844" t="s">
        <v>172</v>
      </c>
      <c r="D18" s="844" t="s">
        <v>157</v>
      </c>
      <c r="E18" s="844" t="s">
        <v>170</v>
      </c>
      <c r="F18" s="844" t="s">
        <v>128</v>
      </c>
      <c r="G18" s="844" t="s">
        <v>158</v>
      </c>
      <c r="H18" s="845">
        <v>0.6</v>
      </c>
      <c r="I18" s="845">
        <v>0.35</v>
      </c>
      <c r="J18" s="913">
        <v>0.6</v>
      </c>
      <c r="K18" s="1189"/>
      <c r="L18" s="113">
        <v>18.899999999999999</v>
      </c>
    </row>
    <row r="19" spans="1:12" ht="57.6" x14ac:dyDescent="0.3">
      <c r="A19" s="1198"/>
      <c r="B19" s="844" t="s">
        <v>95</v>
      </c>
      <c r="C19" s="844" t="s">
        <v>172</v>
      </c>
      <c r="D19" s="844" t="s">
        <v>157</v>
      </c>
      <c r="E19" s="844" t="s">
        <v>170</v>
      </c>
      <c r="F19" s="844" t="s">
        <v>128</v>
      </c>
      <c r="G19" s="844" t="s">
        <v>158</v>
      </c>
      <c r="H19" s="845">
        <v>0.55000000000000004</v>
      </c>
      <c r="I19" s="845">
        <v>0.33</v>
      </c>
      <c r="J19" s="913">
        <v>0.55000000000000004</v>
      </c>
      <c r="K19" s="1189"/>
      <c r="L19" s="113">
        <v>18.100000000000001</v>
      </c>
    </row>
    <row r="20" spans="1:12" ht="57.6" x14ac:dyDescent="0.3">
      <c r="A20" s="1197" t="s">
        <v>173</v>
      </c>
      <c r="B20" s="844" t="s">
        <v>154</v>
      </c>
      <c r="C20" s="844" t="s">
        <v>174</v>
      </c>
      <c r="D20" s="844" t="s">
        <v>175</v>
      </c>
      <c r="E20" s="844" t="s">
        <v>176</v>
      </c>
      <c r="F20" s="844" t="s">
        <v>128</v>
      </c>
      <c r="G20" s="844" t="s">
        <v>158</v>
      </c>
      <c r="H20" s="845">
        <v>0.51</v>
      </c>
      <c r="I20" s="845">
        <v>0.17</v>
      </c>
      <c r="J20" s="913">
        <v>0.43</v>
      </c>
      <c r="K20" s="1189"/>
      <c r="L20" s="113">
        <v>20.100000000000001</v>
      </c>
    </row>
    <row r="21" spans="1:12" ht="57.6" x14ac:dyDescent="0.3">
      <c r="A21" s="1198"/>
      <c r="B21" s="844" t="s">
        <v>95</v>
      </c>
      <c r="C21" s="844" t="s">
        <v>174</v>
      </c>
      <c r="D21" s="844" t="s">
        <v>175</v>
      </c>
      <c r="E21" s="844" t="s">
        <v>176</v>
      </c>
      <c r="F21" s="844" t="s">
        <v>128</v>
      </c>
      <c r="G21" s="844" t="s">
        <v>158</v>
      </c>
      <c r="H21" s="845">
        <v>0.43</v>
      </c>
      <c r="I21" s="845">
        <v>0.15</v>
      </c>
      <c r="J21" s="913">
        <v>0.37</v>
      </c>
      <c r="K21" s="1189"/>
      <c r="L21" s="113">
        <v>18</v>
      </c>
    </row>
    <row r="22" spans="1:12" ht="57.6" x14ac:dyDescent="0.3">
      <c r="A22" s="960" t="s">
        <v>153</v>
      </c>
      <c r="B22" s="844" t="s">
        <v>95</v>
      </c>
      <c r="C22" s="844" t="s">
        <v>155</v>
      </c>
      <c r="D22" s="844" t="s">
        <v>157</v>
      </c>
      <c r="E22" s="844" t="s">
        <v>156</v>
      </c>
      <c r="F22" s="844" t="s">
        <v>129</v>
      </c>
      <c r="G22" s="844" t="s">
        <v>165</v>
      </c>
      <c r="H22" s="845">
        <v>0.6</v>
      </c>
      <c r="I22" s="845">
        <v>0.28999999999999998</v>
      </c>
      <c r="J22" s="913">
        <v>0.55000000000000004</v>
      </c>
      <c r="K22" s="1189"/>
      <c r="L22" s="113">
        <v>12.2</v>
      </c>
    </row>
    <row r="23" spans="1:12" ht="57.6" x14ac:dyDescent="0.3">
      <c r="A23" s="1191" t="s">
        <v>166</v>
      </c>
      <c r="B23" s="844" t="s">
        <v>154</v>
      </c>
      <c r="C23" s="844" t="s">
        <v>155</v>
      </c>
      <c r="D23" s="844" t="s">
        <v>157</v>
      </c>
      <c r="E23" s="844" t="s">
        <v>168</v>
      </c>
      <c r="F23" s="844" t="s">
        <v>129</v>
      </c>
      <c r="G23" s="844" t="s">
        <v>165</v>
      </c>
      <c r="H23" s="845">
        <v>0.64</v>
      </c>
      <c r="I23" s="845">
        <v>0.34</v>
      </c>
      <c r="J23" s="913">
        <v>0.64</v>
      </c>
      <c r="K23" s="1189"/>
      <c r="L23" s="113">
        <v>17</v>
      </c>
    </row>
    <row r="24" spans="1:12" ht="57.6" x14ac:dyDescent="0.3">
      <c r="A24" s="1192"/>
      <c r="B24" s="844" t="s">
        <v>95</v>
      </c>
      <c r="C24" s="844" t="s">
        <v>155</v>
      </c>
      <c r="D24" s="844" t="s">
        <v>157</v>
      </c>
      <c r="E24" s="844" t="s">
        <v>168</v>
      </c>
      <c r="F24" s="844" t="s">
        <v>129</v>
      </c>
      <c r="G24" s="844" t="s">
        <v>165</v>
      </c>
      <c r="H24" s="845">
        <v>0.68</v>
      </c>
      <c r="I24" s="845">
        <v>0.28999999999999998</v>
      </c>
      <c r="J24" s="913">
        <v>0.54</v>
      </c>
      <c r="K24" s="1189"/>
      <c r="L24" s="113">
        <v>14.7</v>
      </c>
    </row>
    <row r="25" spans="1:12" ht="57.6" x14ac:dyDescent="0.3">
      <c r="A25" s="1193" t="s">
        <v>167</v>
      </c>
      <c r="B25" s="844" t="s">
        <v>154</v>
      </c>
      <c r="C25" s="844" t="s">
        <v>155</v>
      </c>
      <c r="D25" s="844" t="s">
        <v>157</v>
      </c>
      <c r="E25" s="844" t="s">
        <v>168</v>
      </c>
      <c r="F25" s="1195" t="s">
        <v>93</v>
      </c>
      <c r="G25" s="1196"/>
      <c r="H25" s="845">
        <v>0.43</v>
      </c>
      <c r="I25" s="845">
        <v>0.05</v>
      </c>
      <c r="J25" s="913">
        <v>0.32</v>
      </c>
      <c r="K25" s="1189"/>
      <c r="L25" s="113">
        <v>0</v>
      </c>
    </row>
    <row r="26" spans="1:12" ht="57.6" x14ac:dyDescent="0.3">
      <c r="A26" s="1194"/>
      <c r="B26" s="844" t="s">
        <v>95</v>
      </c>
      <c r="C26" s="844" t="s">
        <v>155</v>
      </c>
      <c r="D26" s="844" t="s">
        <v>157</v>
      </c>
      <c r="E26" s="844" t="s">
        <v>168</v>
      </c>
      <c r="F26" s="1195" t="s">
        <v>93</v>
      </c>
      <c r="G26" s="1196"/>
      <c r="H26" s="845">
        <v>0.3</v>
      </c>
      <c r="I26" s="845">
        <v>0.04</v>
      </c>
      <c r="J26" s="913">
        <v>0.28999999999999998</v>
      </c>
      <c r="K26" s="1190"/>
      <c r="L26" s="113">
        <v>0</v>
      </c>
    </row>
  </sheetData>
  <mergeCells count="15">
    <mergeCell ref="A3:A4"/>
    <mergeCell ref="A5:A6"/>
    <mergeCell ref="A7:A8"/>
    <mergeCell ref="K5:K12"/>
    <mergeCell ref="A16:A17"/>
    <mergeCell ref="K15:K26"/>
    <mergeCell ref="A13:A14"/>
    <mergeCell ref="A23:A24"/>
    <mergeCell ref="A25:A26"/>
    <mergeCell ref="F25:G25"/>
    <mergeCell ref="F26:G26"/>
    <mergeCell ref="A18:A19"/>
    <mergeCell ref="A9:A10"/>
    <mergeCell ref="A20:A21"/>
    <mergeCell ref="A11:A1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C3A9A6C65A2D4EBD9D45A6B8C50AAB" ma:contentTypeVersion="12" ma:contentTypeDescription="Create a new document." ma:contentTypeScope="" ma:versionID="6aa8881fdec28fdf6c2469f25f23c829">
  <xsd:schema xmlns:xsd="http://www.w3.org/2001/XMLSchema" xmlns:xs="http://www.w3.org/2001/XMLSchema" xmlns:p="http://schemas.microsoft.com/office/2006/metadata/properties" xmlns:ns2="c62f9781-3de0-4ac5-8d0a-ce26aaeed1f1" xmlns:ns3="7dd7ab9b-c7ec-47bc-b587-5bc360886d91" targetNamespace="http://schemas.microsoft.com/office/2006/metadata/properties" ma:root="true" ma:fieldsID="7a7b772e5122d834b17ac24c617441df" ns2:_="" ns3:_="">
    <xsd:import namespace="c62f9781-3de0-4ac5-8d0a-ce26aaeed1f1"/>
    <xsd:import namespace="7dd7ab9b-c7ec-47bc-b587-5bc360886d9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2f9781-3de0-4ac5-8d0a-ce26aaeed1f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dd7ab9b-c7ec-47bc-b587-5bc360886d9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E475B9-B810-4651-96DB-8A45343D83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2f9781-3de0-4ac5-8d0a-ce26aaeed1f1"/>
    <ds:schemaRef ds:uri="7dd7ab9b-c7ec-47bc-b587-5bc360886d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3B119B-3376-4DE8-A329-3A980EC10E75}">
  <ds:schemaRefs>
    <ds:schemaRef ds:uri="http://www.w3.org/XML/1998/namespace"/>
    <ds:schemaRef ds:uri="http://schemas.microsoft.com/office/infopath/2007/PartnerControls"/>
    <ds:schemaRef ds:uri="http://purl.org/dc/terms/"/>
    <ds:schemaRef ds:uri="7dd7ab9b-c7ec-47bc-b587-5bc360886d91"/>
    <ds:schemaRef ds:uri="http://purl.org/dc/elements/1.1/"/>
    <ds:schemaRef ds:uri="http://purl.org/dc/dcmitype/"/>
    <ds:schemaRef ds:uri="http://schemas.microsoft.com/office/2006/documentManagement/types"/>
    <ds:schemaRef ds:uri="http://schemas.openxmlformats.org/package/2006/metadata/core-properties"/>
    <ds:schemaRef ds:uri="c62f9781-3de0-4ac5-8d0a-ce26aaeed1f1"/>
    <ds:schemaRef ds:uri="http://schemas.microsoft.com/office/2006/metadata/properties"/>
  </ds:schemaRefs>
</ds:datastoreItem>
</file>

<file path=customXml/itemProps3.xml><?xml version="1.0" encoding="utf-8"?>
<ds:datastoreItem xmlns:ds="http://schemas.openxmlformats.org/officeDocument/2006/customXml" ds:itemID="{E9B21DD9-009C-4913-89D6-F604532EBB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Cell 1</vt:lpstr>
      <vt:lpstr>Cell 2</vt:lpstr>
      <vt:lpstr>Graphics &amp; figures</vt:lpstr>
      <vt:lpstr>Table resume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dmolognoni</dc:creator>
  <cp:lastModifiedBy>Eduard Borras</cp:lastModifiedBy>
  <cp:lastPrinted>2018-12-12T08:05:42Z</cp:lastPrinted>
  <dcterms:created xsi:type="dcterms:W3CDTF">2018-12-03T15:30:45Z</dcterms:created>
  <dcterms:modified xsi:type="dcterms:W3CDTF">2022-07-22T09:24:12Z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0x01010003C3A9A6C65A2D4EBD9D45A6B8C50AAB</vt:lpwstr>
  </property>
</Properties>
</file>